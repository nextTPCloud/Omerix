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os\src\omerix\docs\"/>
    </mc:Choice>
  </mc:AlternateContent>
  <xr:revisionPtr revIDLastSave="0" documentId="13_ncr:1_{029F521E-4064-40CC-8582-137FD7F19350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Resumen" sheetId="1" r:id="rId1"/>
    <sheet name="Hosting" sheetId="2" r:id="rId2"/>
    <sheet name="MongoDB" sheetId="3" r:id="rId3"/>
    <sheet name="API Claude" sheetId="4" r:id="rId4"/>
    <sheet name="Almacenamiento" sheetId="5" r:id="rId5"/>
    <sheet name="Add-ons" sheetId="6" r:id="rId6"/>
    <sheet name="Simulador ROI" sheetId="7" r:id="rId7"/>
    <sheet name="Precios Saa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8" l="1"/>
  <c r="C16" i="8"/>
  <c r="D16" i="8" s="1"/>
  <c r="D15" i="8"/>
  <c r="C15" i="8"/>
  <c r="C14" i="8"/>
  <c r="D14" i="8" s="1"/>
  <c r="C13" i="8"/>
  <c r="D13" i="8" s="1"/>
  <c r="D12" i="8"/>
  <c r="C12" i="8"/>
  <c r="F42" i="7"/>
  <c r="F41" i="7"/>
  <c r="F40" i="7"/>
  <c r="F39" i="7"/>
  <c r="F33" i="7"/>
  <c r="F34" i="7" s="1"/>
  <c r="L29" i="7"/>
  <c r="B34" i="7" s="1"/>
  <c r="K29" i="7"/>
  <c r="F36" i="7" s="1"/>
  <c r="F37" i="7" s="1"/>
  <c r="L28" i="7"/>
  <c r="L27" i="7"/>
  <c r="L26" i="7"/>
  <c r="L25" i="7"/>
  <c r="L24" i="7"/>
  <c r="L23" i="7"/>
  <c r="L22" i="7"/>
  <c r="L21" i="7"/>
  <c r="L20" i="7"/>
  <c r="L19" i="7"/>
  <c r="B44" i="6"/>
  <c r="D37" i="6"/>
  <c r="D36" i="6"/>
  <c r="D35" i="6"/>
  <c r="D34" i="6"/>
  <c r="D33" i="6"/>
  <c r="D32" i="6"/>
  <c r="D31" i="6"/>
  <c r="D39" i="6" s="1"/>
  <c r="D40" i="6" s="1"/>
  <c r="D30" i="6"/>
  <c r="D29" i="6"/>
  <c r="D37" i="5"/>
  <c r="C37" i="5"/>
  <c r="D36" i="5"/>
  <c r="D38" i="5" s="1"/>
  <c r="C36" i="5"/>
  <c r="C38" i="5" s="1"/>
  <c r="C18" i="4"/>
  <c r="D18" i="4" s="1"/>
  <c r="E18" i="4" s="1"/>
  <c r="B13" i="4"/>
  <c r="C20" i="4" s="1"/>
  <c r="C8" i="2"/>
  <c r="C7" i="1" s="1"/>
  <c r="B8" i="2"/>
  <c r="B7" i="1" s="1"/>
  <c r="C10" i="1"/>
  <c r="B10" i="1"/>
  <c r="C8" i="1"/>
  <c r="B8" i="1"/>
  <c r="D20" i="4" l="1"/>
  <c r="E20" i="4" s="1"/>
  <c r="F20" i="4"/>
  <c r="B43" i="7"/>
  <c r="B46" i="6"/>
  <c r="C16" i="4"/>
  <c r="C19" i="4"/>
  <c r="F35" i="7"/>
  <c r="B36" i="7"/>
  <c r="F18" i="4"/>
  <c r="C17" i="4"/>
  <c r="D19" i="4" l="1"/>
  <c r="E19" i="4" s="1"/>
  <c r="F19" i="4"/>
  <c r="D16" i="4"/>
  <c r="E16" i="4" s="1"/>
  <c r="F16" i="4"/>
  <c r="D17" i="4"/>
  <c r="E17" i="4" s="1"/>
  <c r="E21" i="4" s="1"/>
  <c r="B9" i="1" s="1"/>
  <c r="B13" i="1" s="1"/>
  <c r="F17" i="4"/>
  <c r="F21" i="4" s="1"/>
  <c r="C9" i="1" s="1"/>
  <c r="C13" i="1" s="1"/>
  <c r="B23" i="8" l="1"/>
  <c r="B24" i="8" s="1"/>
  <c r="B25" i="8" s="1"/>
  <c r="B43" i="6"/>
  <c r="B45" i="6" s="1"/>
  <c r="B47" i="6" s="1"/>
  <c r="B48" i="6" s="1"/>
  <c r="B35" i="7"/>
  <c r="B38" i="7" s="1"/>
  <c r="B44" i="7" l="1"/>
  <c r="B45" i="7" s="1"/>
  <c r="B39" i="7"/>
  <c r="B49" i="7" l="1"/>
  <c r="B40" i="7"/>
</calcChain>
</file>

<file path=xl/sharedStrings.xml><?xml version="1.0" encoding="utf-8"?>
<sst xmlns="http://schemas.openxmlformats.org/spreadsheetml/2006/main" count="365" uniqueCount="319">
  <si>
    <t>ANÁLISIS DE COSTES - OMERIX ERP</t>
  </si>
  <si>
    <t>Fecha de análisis:</t>
  </si>
  <si>
    <t>Diciembre 2025</t>
  </si>
  <si>
    <t>Moneda:</t>
  </si>
  <si>
    <t>EUR (€)</t>
  </si>
  <si>
    <t>Concepto</t>
  </si>
  <si>
    <t>Mínimo (€/mes)</t>
  </si>
  <si>
    <t>Máximo (€/mes)</t>
  </si>
  <si>
    <t>Notas</t>
  </si>
  <si>
    <t>Hosting VPS</t>
  </si>
  <si>
    <t>Hostinger KVM recomendado</t>
  </si>
  <si>
    <t>MongoDB Atlas</t>
  </si>
  <si>
    <t>M0 gratis, M5 para producción</t>
  </si>
  <si>
    <t>API Claude (IA)</t>
  </si>
  <si>
    <t>Coste por procesamiento albaranes</t>
  </si>
  <si>
    <t>Almacenamiento (S3/DO)</t>
  </si>
  <si>
    <t>Para archivos y backups</t>
  </si>
  <si>
    <t>Dominio + SSL</t>
  </si>
  <si>
    <t>Renovación anual prorrateada</t>
  </si>
  <si>
    <t>Backup extra</t>
  </si>
  <si>
    <t>Opcional según proveedor</t>
  </si>
  <si>
    <t>TOTAL INFRAESTRUCTURA</t>
  </si>
  <si>
    <t>HOSTING VPS - COMPARATIVA</t>
  </si>
  <si>
    <t>Proveedor / Plan</t>
  </si>
  <si>
    <t>Precio (€/mes)</t>
  </si>
  <si>
    <t>Specs</t>
  </si>
  <si>
    <t>Hostinger KVM1</t>
  </si>
  <si>
    <t>1 vCPU, 4GB RAM</t>
  </si>
  <si>
    <t>Básico para desarrollo</t>
  </si>
  <si>
    <t>Hostinger KVM2 ⭐</t>
  </si>
  <si>
    <t>2 vCPU, 8GB RAM</t>
  </si>
  <si>
    <t>RECOMENDADO para producción</t>
  </si>
  <si>
    <t>Hostinger KVM4</t>
  </si>
  <si>
    <t>4 vCPU, 16GB RAM</t>
  </si>
  <si>
    <t>Para múltiples clientes</t>
  </si>
  <si>
    <t>DigitalOcean Droplet</t>
  </si>
  <si>
    <t>2 vCPU, 4GB RAM</t>
  </si>
  <si>
    <t>Alternativa premium</t>
  </si>
  <si>
    <t>Rango recomendado:</t>
  </si>
  <si>
    <t>Fácil deploy, puede escalar</t>
  </si>
  <si>
    <t>MONGODB ATLAS - PLANES</t>
  </si>
  <si>
    <t>Plan</t>
  </si>
  <si>
    <t>Almacen.</t>
  </si>
  <si>
    <t>M0 (Free)</t>
  </si>
  <si>
    <t>512 MB</t>
  </si>
  <si>
    <t>Desarrollo/testing, sin SLA</t>
  </si>
  <si>
    <t>M2 (Shared)</t>
  </si>
  <si>
    <t>2 GB</t>
  </si>
  <si>
    <t>Pequeños proyectos</t>
  </si>
  <si>
    <t>M5 (Shared) ⭐</t>
  </si>
  <si>
    <t>5 GB</t>
  </si>
  <si>
    <t>RECOMENDADO producción básica</t>
  </si>
  <si>
    <t>M10 (Dedicated)</t>
  </si>
  <si>
    <t>10 GB</t>
  </si>
  <si>
    <t>Alta disponibilidad</t>
  </si>
  <si>
    <t>M20 (Dedicated)</t>
  </si>
  <si>
    <t>20 GB</t>
  </si>
  <si>
    <t>Múltiples clientes</t>
  </si>
  <si>
    <t>Rango típico:</t>
  </si>
  <si>
    <t>COSTES API CLAUDE - PROCESAMIENTO ALBARANES</t>
  </si>
  <si>
    <t>Modelo: Claude Sonnet 4.5</t>
  </si>
  <si>
    <t>Precio entrada: $3 / millón tokens</t>
  </si>
  <si>
    <t>Precio salida: $15 / millón tokens</t>
  </si>
  <si>
    <t>Descuento Batch API: 50%</t>
  </si>
  <si>
    <t>Parámetro</t>
  </si>
  <si>
    <t>Valor</t>
  </si>
  <si>
    <t>Unidad</t>
  </si>
  <si>
    <t>Tokens entrada por albarán</t>
  </si>
  <si>
    <t>tokens</t>
  </si>
  <si>
    <t>Tokens salida por albarán</t>
  </si>
  <si>
    <t>Tipo cambio EUR/USD</t>
  </si>
  <si>
    <t>Coste por albarán (€):</t>
  </si>
  <si>
    <t>Escenario</t>
  </si>
  <si>
    <t>Albaranes/mes</t>
  </si>
  <si>
    <t>Coste (€)</t>
  </si>
  <si>
    <t>Con Batch -50%</t>
  </si>
  <si>
    <t>Mínimo</t>
  </si>
  <si>
    <t>Máximo</t>
  </si>
  <si>
    <t>Autónomo</t>
  </si>
  <si>
    <t>Pequeño negocio</t>
  </si>
  <si>
    <t>Mediano</t>
  </si>
  <si>
    <t>Grande</t>
  </si>
  <si>
    <t>Enterprise</t>
  </si>
  <si>
    <t>Rango típico (pequeño):</t>
  </si>
  <si>
    <t>ALMACENAMIENTO - DIGITALOCEAN SPACES vs AWS S3</t>
  </si>
  <si>
    <t>📦 DIGITALOCEAN SPACES</t>
  </si>
  <si>
    <t>Precio</t>
  </si>
  <si>
    <t>Incluido</t>
  </si>
  <si>
    <t>Plan base</t>
  </si>
  <si>
    <t>$5/mes</t>
  </si>
  <si>
    <t>250 GB + 1 TB transfer</t>
  </si>
  <si>
    <t>CDN incluido gratis</t>
  </si>
  <si>
    <t>Almacenamiento extra</t>
  </si>
  <si>
    <t>$0.02/GiB</t>
  </si>
  <si>
    <t>-</t>
  </si>
  <si>
    <t>Sobre los 250 GB</t>
  </si>
  <si>
    <t>Transferencia extra</t>
  </si>
  <si>
    <t>$0.01/GiB</t>
  </si>
  <si>
    <t>Sobre 1 TB salida</t>
  </si>
  <si>
    <t>Inbound (entrada)</t>
  </si>
  <si>
    <t>GRATIS</t>
  </si>
  <si>
    <t>Ilimitado</t>
  </si>
  <si>
    <t>Subir archivos sin coste</t>
  </si>
  <si>
    <t>☁️ AWS S3</t>
  </si>
  <si>
    <t>Clase de almacenamiento</t>
  </si>
  <si>
    <t>Precio/GB/mes</t>
  </si>
  <si>
    <t>Uso recomendado</t>
  </si>
  <si>
    <t>S3 Standard</t>
  </si>
  <si>
    <t>$0.023</t>
  </si>
  <si>
    <t>Acceso frecuente</t>
  </si>
  <si>
    <t>Primeros 50 TB</t>
  </si>
  <si>
    <t>S3 Standard-IA</t>
  </si>
  <si>
    <t>$0.0125</t>
  </si>
  <si>
    <t>Acceso infrecuente</t>
  </si>
  <si>
    <t>Recuperación rápida</t>
  </si>
  <si>
    <t>S3 One Zone-IA</t>
  </si>
  <si>
    <t>$0.01</t>
  </si>
  <si>
    <t>Backups secundarios</t>
  </si>
  <si>
    <t>Sin redundancia multi-zona</t>
  </si>
  <si>
    <t>S3 Glacier Instant</t>
  </si>
  <si>
    <t>$0.004</t>
  </si>
  <si>
    <t>Archivo con acceso rápido</t>
  </si>
  <si>
    <t>68% más barato que IA</t>
  </si>
  <si>
    <t>Transfer OUT</t>
  </si>
  <si>
    <t>$0.09/GB</t>
  </si>
  <si>
    <t>Descarga a internet</t>
  </si>
  <si>
    <t>Primeros 10 TB</t>
  </si>
  <si>
    <t>⭐ RECOMENDACIÓN PARA OMERIX</t>
  </si>
  <si>
    <t>Rango mensual estimado:</t>
  </si>
  <si>
    <t>Uso típico: 50-100 GB</t>
  </si>
  <si>
    <t>Para un ERP como Omerix con almacenamiento de:</t>
  </si>
  <si>
    <t>• Imágenes de albaranes/facturas</t>
  </si>
  <si>
    <t>• Backups de MongoDB</t>
  </si>
  <si>
    <t>• Archivos de clientes</t>
  </si>
  <si>
    <t>✅ RECOMENDACIÓN: DigitalOcean Spaces</t>
  </si>
  <si>
    <t>Razones:</t>
  </si>
  <si>
    <t>1. Precio fijo predecible ($5/mes incluye 250 GB)</t>
  </si>
  <si>
    <t>2. CDN integrado sin coste extra</t>
  </si>
  <si>
    <t>3. Compatible S3 (fácil migración)</t>
  </si>
  <si>
    <t>4. Transfer generoso (1 TB incluido)</t>
  </si>
  <si>
    <t>5. Simplicidad vs complejidad de precios AWS</t>
  </si>
  <si>
    <t>📊 CALCULADORA DE COSTES</t>
  </si>
  <si>
    <t>Tu escenario</t>
  </si>
  <si>
    <t>DO Spaces</t>
  </si>
  <si>
    <t>AWS S3</t>
  </si>
  <si>
    <t>GB almacenados</t>
  </si>
  <si>
    <t>GB transfer salida/mes</t>
  </si>
  <si>
    <t>TOTAL MENSUAL (€)</t>
  </si>
  <si>
    <t>MÓDULOS ADD-ON - OMERIX ERP</t>
  </si>
  <si>
    <t>🧩 MÓDULOS DISPONIBLES</t>
  </si>
  <si>
    <t>Módulo</t>
  </si>
  <si>
    <t>Precio base (€/mes)</t>
  </si>
  <si>
    <t>Precio variable</t>
  </si>
  <si>
    <t>Descripción</t>
  </si>
  <si>
    <t>TPV (Punto de Venta)</t>
  </si>
  <si>
    <t>Por cada TPV</t>
  </si>
  <si>
    <t>Terminal punto de venta táctil, tickets, arqueos</t>
  </si>
  <si>
    <t>RRHH (Recursos Humanos)</t>
  </si>
  <si>
    <t>+1€/empleado (desde 3º)</t>
  </si>
  <si>
    <t>Nóminas, fichajes, vacaciones, contratos. Incluye 2 empleados</t>
  </si>
  <si>
    <t>Servicios</t>
  </si>
  <si>
    <t>Gestión de servicios, SAT, partes de trabajo</t>
  </si>
  <si>
    <t>Producción</t>
  </si>
  <si>
    <t>Órdenes fabricación, escandallos, control planta</t>
  </si>
  <si>
    <t>IA Documentos</t>
  </si>
  <si>
    <t>0.15-0.30€/doc</t>
  </si>
  <si>
    <t>OCR inteligente albaranes, facturas, pedidos</t>
  </si>
  <si>
    <t>Usuarios adicionales</t>
  </si>
  <si>
    <t>Por usuario</t>
  </si>
  <si>
    <t>Usuarios extra sobre los incluidos en plan</t>
  </si>
  <si>
    <t>Multi-empresa</t>
  </si>
  <si>
    <t>Por empresa extra</t>
  </si>
  <si>
    <t>Gestión de empresas adicionales</t>
  </si>
  <si>
    <t>API Avanzada</t>
  </si>
  <si>
    <t>Acceso API REST completo, webhooks, integraciones</t>
  </si>
  <si>
    <t>Backup Premium</t>
  </si>
  <si>
    <t>Backups cada hora, retención 90 días, restore prioritario</t>
  </si>
  <si>
    <t>Soporte Prioritario</t>
  </si>
  <si>
    <t>Respuesta &lt;4h, teléfono directo, formación</t>
  </si>
  <si>
    <t>📋 ESTADO DE DESARROLLO</t>
  </si>
  <si>
    <t>Estado</t>
  </si>
  <si>
    <t>Prioridad</t>
  </si>
  <si>
    <t>Core ERP (Ventas, Compras, Stock)</t>
  </si>
  <si>
    <t>✅ Implementado</t>
  </si>
  <si>
    <t>Alta</t>
  </si>
  <si>
    <t>Funcionalidad base</t>
  </si>
  <si>
    <t>API Claude integrada</t>
  </si>
  <si>
    <t>🔄 En desarrollo</t>
  </si>
  <si>
    <t>Próxima versión</t>
  </si>
  <si>
    <t>RRHH</t>
  </si>
  <si>
    <t>📋 Planificado</t>
  </si>
  <si>
    <t>Media</t>
  </si>
  <si>
    <t>Q1 2025</t>
  </si>
  <si>
    <t>TPV</t>
  </si>
  <si>
    <t>Q1-Q2 2025</t>
  </si>
  <si>
    <t>Baja</t>
  </si>
  <si>
    <t>Q2 2025</t>
  </si>
  <si>
    <t>Requiere refactor</t>
  </si>
  <si>
    <t>🧮 SIMULADOR DE CLIENTE</t>
  </si>
  <si>
    <t>Cantidad</t>
  </si>
  <si>
    <t>Precio unit.</t>
  </si>
  <si>
    <t>Subtotal</t>
  </si>
  <si>
    <t>Plan base (Profesional)</t>
  </si>
  <si>
    <t>TPV adicionales</t>
  </si>
  <si>
    <t>Módulo RRHH</t>
  </si>
  <si>
    <t>Empleados extra RRHH (sobre 2)</t>
  </si>
  <si>
    <t>Módulo Servicios</t>
  </si>
  <si>
    <t>Módulo Producción</t>
  </si>
  <si>
    <t>Docs IA procesados/mes</t>
  </si>
  <si>
    <t>TOTAL MENSUAL CLIENTE</t>
  </si>
  <si>
    <t>TOTAL ANUAL</t>
  </si>
  <si>
    <t>💰 ANÁLISIS DE MARGEN</t>
  </si>
  <si>
    <t>Tu coste infraestructura (estimado):</t>
  </si>
  <si>
    <t>€/mes</t>
  </si>
  <si>
    <t>Coste IA (docs procesados):</t>
  </si>
  <si>
    <t>Total costes:</t>
  </si>
  <si>
    <t>Ingreso cliente:</t>
  </si>
  <si>
    <t>MARGEN BRUTO:</t>
  </si>
  <si>
    <t>Margen %:</t>
  </si>
  <si>
    <t>📊 SIMULADOR ROI - OMERIX ERP</t>
  </si>
  <si>
    <t>📋 PRECIOS DE REFERENCIA</t>
  </si>
  <si>
    <t>🧩 ADD-ONS</t>
  </si>
  <si>
    <t>Usuarios incl.</t>
  </si>
  <si>
    <t>Add-on</t>
  </si>
  <si>
    <t>1-Starter</t>
  </si>
  <si>
    <t>2-Profesional</t>
  </si>
  <si>
    <t>3-Business</t>
  </si>
  <si>
    <t>RRHH/empl</t>
  </si>
  <si>
    <t>4-Enterprise</t>
  </si>
  <si>
    <t>Usuario+</t>
  </si>
  <si>
    <t>Multi-emp</t>
  </si>
  <si>
    <t>API</t>
  </si>
  <si>
    <t>Backup+</t>
  </si>
  <si>
    <t>Soporte+</t>
  </si>
  <si>
    <t>👥 CARTERA DE CLIENTES</t>
  </si>
  <si>
    <t>#</t>
  </si>
  <si>
    <t>Cliente</t>
  </si>
  <si>
    <t>Plan (1-4)</t>
  </si>
  <si>
    <t>TPVs</t>
  </si>
  <si>
    <t>Empl+</t>
  </si>
  <si>
    <t>Serv</t>
  </si>
  <si>
    <t>Prod</t>
  </si>
  <si>
    <t>Usr+</t>
  </si>
  <si>
    <t>Docs IA</t>
  </si>
  <si>
    <t>TOTAL €</t>
  </si>
  <si>
    <t>Cliente 1</t>
  </si>
  <si>
    <t>Cliente 2</t>
  </si>
  <si>
    <t>Cliente 3</t>
  </si>
  <si>
    <t>TOTAL</t>
  </si>
  <si>
    <t>💰 ANÁLISIS ROI MENSUAL</t>
  </si>
  <si>
    <t>📊 ESTADÍSTICAS</t>
  </si>
  <si>
    <t>Importe €</t>
  </si>
  <si>
    <t>Clientes activos:</t>
  </si>
  <si>
    <t>Ingresos mensuales</t>
  </si>
  <si>
    <t>Suma de todos los clientes</t>
  </si>
  <si>
    <t>Ticket medio:</t>
  </si>
  <si>
    <t>Coste infraestructura</t>
  </si>
  <si>
    <t>Hosting + MongoDB + Storage</t>
  </si>
  <si>
    <t>Docs IA totales/mes:</t>
  </si>
  <si>
    <t>Coste IA (docs procesados)</t>
  </si>
  <si>
    <t>Tu coste real API Claude</t>
  </si>
  <si>
    <t>Ingreso por IA:</t>
  </si>
  <si>
    <t>Otros costes fijos</t>
  </si>
  <si>
    <t>Dominio, email, herramientas...</t>
  </si>
  <si>
    <t>Margen IA:</t>
  </si>
  <si>
    <t>TOTAL COSTES</t>
  </si>
  <si>
    <t>BENEFICIO BRUTO MENSUAL</t>
  </si>
  <si>
    <t>Clientes Starter:</t>
  </si>
  <si>
    <t>Margen bruto %</t>
  </si>
  <si>
    <t>Clientes Profesional:</t>
  </si>
  <si>
    <t>Clientes Business:</t>
  </si>
  <si>
    <t>📈 PROYECCIÓN ANUAL</t>
  </si>
  <si>
    <t>Clientes Enterprise:</t>
  </si>
  <si>
    <t>Ingresos anuales</t>
  </si>
  <si>
    <t>Costes anuales</t>
  </si>
  <si>
    <t>BENEFICIO ANUAL</t>
  </si>
  <si>
    <t>⏱️ BREAK-EVEN</t>
  </si>
  <si>
    <t>Inversión desarrollo</t>
  </si>
  <si>
    <t>€ (editable)</t>
  </si>
  <si>
    <t>Meses para recuperar</t>
  </si>
  <si>
    <t>📝 INSTRUCCIONES</t>
  </si>
  <si>
    <t>• Plan: 1=Starter, 2=Profesional, 3=Business, 4=Enterprise (0=sin cliente)</t>
  </si>
  <si>
    <t>• TPVs, RRHH, Serv, Prod, API: Pon 1 para activar, 0 para desactivar</t>
  </si>
  <si>
    <t>• Empl+: Empleados extra para RRHH (los 2 primeros están incluidos)</t>
  </si>
  <si>
    <t>• Usr+: Usuarios adicionales sobre los incluidos en el plan</t>
  </si>
  <si>
    <t>• Docs IA: Número de documentos procesados por IA al mes</t>
  </si>
  <si>
    <t>• Los valores en AZUL son editables, el resto se calcula automáticamente</t>
  </si>
  <si>
    <t>MODELO DE PRECIOS SAAS - OMERIX</t>
  </si>
  <si>
    <t>Usuarios</t>
  </si>
  <si>
    <t>Características</t>
  </si>
  <si>
    <t>Starter</t>
  </si>
  <si>
    <t>1-2</t>
  </si>
  <si>
    <t>Módulos básicos, 1 empresa</t>
  </si>
  <si>
    <t>Profesional</t>
  </si>
  <si>
    <t>3-5</t>
  </si>
  <si>
    <t>+ Informes avanzados, soporte email</t>
  </si>
  <si>
    <t>Business</t>
  </si>
  <si>
    <t>6-10</t>
  </si>
  <si>
    <t>+ Multi-empresa, API, prioridad</t>
  </si>
  <si>
    <t>Ilimitados</t>
  </si>
  <si>
    <t>+ Personalización, SLA, soporte 24/7</t>
  </si>
  <si>
    <t>💡 MÓDULO IA (Pay-per-use)</t>
  </si>
  <si>
    <t>Volumen docs/mes</t>
  </si>
  <si>
    <t>Precio/doc (€)</t>
  </si>
  <si>
    <t>Tu coste</t>
  </si>
  <si>
    <t>Tu margen</t>
  </si>
  <si>
    <t>1-50</t>
  </si>
  <si>
    <t>51-200</t>
  </si>
  <si>
    <t>201-500</t>
  </si>
  <si>
    <t>501-1000</t>
  </si>
  <si>
    <t>+1000</t>
  </si>
  <si>
    <t>📈 ANÁLISIS ROI</t>
  </si>
  <si>
    <t>Inversión desarrollo (estimada):</t>
  </si>
  <si>
    <t>€</t>
  </si>
  <si>
    <t>Clientes plan Profesional:</t>
  </si>
  <si>
    <t>Ingresos mensuales:</t>
  </si>
  <si>
    <t>Costes mensuales infra:</t>
  </si>
  <si>
    <t>Beneficio mensual:</t>
  </si>
  <si>
    <t>Meses para break-even: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</si>
</sst>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b/>
      <sz val="12"/>
      <name val="Cambria"/>
      <charset val="1"/>
    </font>
    <font>
      <b/>
      <sz val="11"/>
      <color rgb="FF006400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0" xfId="0" applyFont="1" applyFill="1"/>
    <xf numFmtId="0" fontId="0" fillId="3" borderId="0" xfId="0" applyFill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4" borderId="0" xfId="0" applyFont="1" applyFill="1"/>
    <xf numFmtId="0" fontId="4" fillId="0" borderId="0" xfId="0" applyFont="1"/>
    <xf numFmtId="0" fontId="4" fillId="4" borderId="0" xfId="0" applyFont="1" applyFill="1"/>
    <xf numFmtId="0" fontId="5" fillId="0" borderId="0" xfId="0" applyFont="1"/>
    <xf numFmtId="9" fontId="2" fillId="0" borderId="0" xfId="0" applyNumberFormat="1" applyFont="1"/>
    <xf numFmtId="0" fontId="0" fillId="5" borderId="0" xfId="0" applyFill="1"/>
    <xf numFmtId="0" fontId="2" fillId="6" borderId="0" xfId="0" applyFont="1" applyFill="1"/>
    <xf numFmtId="164" fontId="2" fillId="0" borderId="0" xfId="0" applyNumberFormat="1" applyFont="1"/>
    <xf numFmtId="0" fontId="0" fillId="6" borderId="0" xfId="0" applyFill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C8" sqref="C8"/>
    </sheetView>
  </sheetViews>
  <sheetFormatPr baseColWidth="10" defaultColWidth="8.6640625" defaultRowHeight="14.4" x14ac:dyDescent="0.3"/>
  <cols>
    <col min="1" max="1" width="35" customWidth="1"/>
    <col min="2" max="3" width="18" customWidth="1"/>
    <col min="4" max="4" width="40" customWidth="1"/>
  </cols>
  <sheetData>
    <row r="1" spans="1:4" x14ac:dyDescent="0.3">
      <c r="A1" s="1" t="s">
        <v>0</v>
      </c>
      <c r="B1" s="1"/>
      <c r="C1" s="1"/>
      <c r="D1" s="1"/>
    </row>
    <row r="3" spans="1:4" x14ac:dyDescent="0.3">
      <c r="A3" t="s">
        <v>1</v>
      </c>
      <c r="B3" t="s">
        <v>2</v>
      </c>
    </row>
    <row r="4" spans="1:4" x14ac:dyDescent="0.3">
      <c r="A4" t="s">
        <v>3</v>
      </c>
      <c r="B4" t="s">
        <v>4</v>
      </c>
    </row>
    <row r="6" spans="1:4" x14ac:dyDescent="0.3">
      <c r="A6" s="2" t="s">
        <v>5</v>
      </c>
      <c r="B6" s="2" t="s">
        <v>6</v>
      </c>
      <c r="C6" s="2" t="s">
        <v>7</v>
      </c>
      <c r="D6" s="2" t="s">
        <v>8</v>
      </c>
    </row>
    <row r="7" spans="1:4" x14ac:dyDescent="0.3">
      <c r="A7" s="3" t="s">
        <v>9</v>
      </c>
      <c r="B7" s="3">
        <f>Hosting!B8</f>
        <v>7.49</v>
      </c>
      <c r="C7" s="3">
        <f>Hosting!C8</f>
        <v>24.99</v>
      </c>
      <c r="D7" s="3" t="s">
        <v>10</v>
      </c>
    </row>
    <row r="8" spans="1:4" x14ac:dyDescent="0.3">
      <c r="A8" s="3" t="s">
        <v>11</v>
      </c>
      <c r="B8" s="3">
        <f>MongoDB!B10</f>
        <v>0</v>
      </c>
      <c r="C8" s="3">
        <f>MongoDB!C10</f>
        <v>23</v>
      </c>
      <c r="D8" s="3" t="s">
        <v>12</v>
      </c>
    </row>
    <row r="9" spans="1:4" x14ac:dyDescent="0.3">
      <c r="A9" s="3" t="s">
        <v>13</v>
      </c>
      <c r="B9" s="3">
        <f>'API Claude'!E21</f>
        <v>1.794</v>
      </c>
      <c r="C9" s="3">
        <f>'API Claude'!F21</f>
        <v>3.5880000000000001</v>
      </c>
      <c r="D9" s="3" t="s">
        <v>14</v>
      </c>
    </row>
    <row r="10" spans="1:4" x14ac:dyDescent="0.3">
      <c r="A10" s="3" t="s">
        <v>15</v>
      </c>
      <c r="B10" s="3">
        <f>Almacenamiento!B19</f>
        <v>0</v>
      </c>
      <c r="C10" s="3">
        <f>Almacenamiento!C19</f>
        <v>10</v>
      </c>
      <c r="D10" s="3" t="s">
        <v>16</v>
      </c>
    </row>
    <row r="11" spans="1:4" x14ac:dyDescent="0.3">
      <c r="A11" s="3" t="s">
        <v>17</v>
      </c>
      <c r="B11" s="3">
        <v>1</v>
      </c>
      <c r="C11" s="3">
        <v>2</v>
      </c>
      <c r="D11" s="3" t="s">
        <v>18</v>
      </c>
    </row>
    <row r="12" spans="1:4" x14ac:dyDescent="0.3">
      <c r="A12" s="3" t="s">
        <v>19</v>
      </c>
      <c r="B12" s="3">
        <v>0</v>
      </c>
      <c r="C12" s="3">
        <v>5</v>
      </c>
      <c r="D12" s="3" t="s">
        <v>20</v>
      </c>
    </row>
    <row r="13" spans="1:4" x14ac:dyDescent="0.3">
      <c r="A13" s="4" t="s">
        <v>21</v>
      </c>
      <c r="B13" s="5">
        <f>SUM(B7:B12)</f>
        <v>10.284000000000001</v>
      </c>
      <c r="C13" s="5">
        <f>SUM(C7:C12)</f>
        <v>68.578000000000003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Normal="100" workbookViewId="0">
      <selection activeCell="B7" sqref="B7"/>
    </sheetView>
  </sheetViews>
  <sheetFormatPr baseColWidth="10" defaultColWidth="8.6640625" defaultRowHeight="14.4" x14ac:dyDescent="0.3"/>
  <cols>
    <col min="1" max="1" width="30" customWidth="1"/>
    <col min="2" max="3" width="15" customWidth="1"/>
    <col min="4" max="4" width="40" customWidth="1"/>
  </cols>
  <sheetData>
    <row r="1" spans="1:4" x14ac:dyDescent="0.3">
      <c r="A1" s="1" t="s">
        <v>22</v>
      </c>
      <c r="B1" s="1"/>
      <c r="C1" s="1"/>
      <c r="D1" s="1"/>
    </row>
    <row r="3" spans="1:4" x14ac:dyDescent="0.3">
      <c r="A3" s="2" t="s">
        <v>23</v>
      </c>
      <c r="B3" s="2" t="s">
        <v>24</v>
      </c>
      <c r="C3" s="2" t="s">
        <v>25</v>
      </c>
      <c r="D3" s="2" t="s">
        <v>8</v>
      </c>
    </row>
    <row r="4" spans="1:4" x14ac:dyDescent="0.3">
      <c r="A4" s="3" t="s">
        <v>26</v>
      </c>
      <c r="B4" s="6">
        <v>7.49</v>
      </c>
      <c r="C4" s="3" t="s">
        <v>27</v>
      </c>
      <c r="D4" s="3" t="s">
        <v>28</v>
      </c>
    </row>
    <row r="5" spans="1:4" x14ac:dyDescent="0.3">
      <c r="A5" s="3" t="s">
        <v>29</v>
      </c>
      <c r="B5" s="6">
        <v>12.99</v>
      </c>
      <c r="C5" s="3" t="s">
        <v>30</v>
      </c>
      <c r="D5" s="3" t="s">
        <v>31</v>
      </c>
    </row>
    <row r="6" spans="1:4" x14ac:dyDescent="0.3">
      <c r="A6" s="3" t="s">
        <v>32</v>
      </c>
      <c r="B6" s="6">
        <v>24.99</v>
      </c>
      <c r="C6" s="3" t="s">
        <v>33</v>
      </c>
      <c r="D6" s="3" t="s">
        <v>34</v>
      </c>
    </row>
    <row r="7" spans="1:4" x14ac:dyDescent="0.3">
      <c r="A7" s="3" t="s">
        <v>35</v>
      </c>
      <c r="B7" s="6">
        <v>12</v>
      </c>
      <c r="C7" s="3" t="s">
        <v>36</v>
      </c>
      <c r="D7" s="3" t="s">
        <v>37</v>
      </c>
    </row>
    <row r="8" spans="1:4" x14ac:dyDescent="0.3">
      <c r="A8" s="7" t="s">
        <v>38</v>
      </c>
      <c r="B8" s="6">
        <f>MIN(B4:B7)</f>
        <v>7.49</v>
      </c>
      <c r="C8" s="3">
        <f>MAX(B4:B7)</f>
        <v>24.99</v>
      </c>
      <c r="D8" s="3" t="s">
        <v>39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>
      <selection activeCell="B8" sqref="B8"/>
    </sheetView>
  </sheetViews>
  <sheetFormatPr baseColWidth="10" defaultColWidth="8.6640625" defaultRowHeight="14.4" x14ac:dyDescent="0.3"/>
  <cols>
    <col min="1" max="1" width="25" customWidth="1"/>
    <col min="2" max="3" width="15" customWidth="1"/>
    <col min="4" max="4" width="45" customWidth="1"/>
  </cols>
  <sheetData>
    <row r="1" spans="1:4" x14ac:dyDescent="0.3">
      <c r="A1" s="1" t="s">
        <v>40</v>
      </c>
      <c r="B1" s="1"/>
      <c r="C1" s="1"/>
      <c r="D1" s="1"/>
    </row>
    <row r="3" spans="1:4" x14ac:dyDescent="0.3">
      <c r="A3" s="2" t="s">
        <v>41</v>
      </c>
      <c r="B3" s="2" t="s">
        <v>24</v>
      </c>
      <c r="C3" s="2" t="s">
        <v>42</v>
      </c>
      <c r="D3" s="2" t="s">
        <v>8</v>
      </c>
    </row>
    <row r="4" spans="1:4" x14ac:dyDescent="0.3">
      <c r="A4" s="3" t="s">
        <v>43</v>
      </c>
      <c r="B4" s="6">
        <v>0</v>
      </c>
      <c r="C4" s="3" t="s">
        <v>44</v>
      </c>
      <c r="D4" s="3" t="s">
        <v>45</v>
      </c>
    </row>
    <row r="5" spans="1:4" x14ac:dyDescent="0.3">
      <c r="A5" s="3" t="s">
        <v>46</v>
      </c>
      <c r="B5" s="6">
        <v>9</v>
      </c>
      <c r="C5" s="3" t="s">
        <v>47</v>
      </c>
      <c r="D5" s="3" t="s">
        <v>48</v>
      </c>
    </row>
    <row r="6" spans="1:4" x14ac:dyDescent="0.3">
      <c r="A6" s="3" t="s">
        <v>49</v>
      </c>
      <c r="B6" s="6">
        <v>23</v>
      </c>
      <c r="C6" s="3" t="s">
        <v>50</v>
      </c>
      <c r="D6" s="3" t="s">
        <v>51</v>
      </c>
    </row>
    <row r="7" spans="1:4" x14ac:dyDescent="0.3">
      <c r="A7" s="3" t="s">
        <v>52</v>
      </c>
      <c r="B7" s="6">
        <v>50</v>
      </c>
      <c r="C7" s="3" t="s">
        <v>53</v>
      </c>
      <c r="D7" s="3" t="s">
        <v>54</v>
      </c>
    </row>
    <row r="8" spans="1:4" x14ac:dyDescent="0.3">
      <c r="A8" s="3" t="s">
        <v>55</v>
      </c>
      <c r="B8" s="6">
        <v>140</v>
      </c>
      <c r="C8" s="3" t="s">
        <v>56</v>
      </c>
      <c r="D8" s="3" t="s">
        <v>57</v>
      </c>
    </row>
    <row r="10" spans="1:4" x14ac:dyDescent="0.3">
      <c r="A10" s="8" t="s">
        <v>58</v>
      </c>
      <c r="B10">
        <v>0</v>
      </c>
      <c r="C10">
        <v>23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Normal="100" workbookViewId="0">
      <selection activeCell="F19" sqref="F19"/>
    </sheetView>
  </sheetViews>
  <sheetFormatPr baseColWidth="10" defaultColWidth="8.6640625" defaultRowHeight="14.4" x14ac:dyDescent="0.3"/>
  <cols>
    <col min="1" max="1" width="30" customWidth="1"/>
    <col min="2" max="2" width="15" customWidth="1"/>
    <col min="3" max="3" width="12" customWidth="1"/>
    <col min="4" max="6" width="15" customWidth="1"/>
  </cols>
  <sheetData>
    <row r="1" spans="1:6" x14ac:dyDescent="0.3">
      <c r="A1" s="1" t="s">
        <v>59</v>
      </c>
      <c r="B1" s="1"/>
      <c r="C1" s="1"/>
      <c r="D1" s="1"/>
      <c r="E1" s="1"/>
      <c r="F1" s="1"/>
    </row>
    <row r="3" spans="1:6" x14ac:dyDescent="0.3">
      <c r="A3" t="s">
        <v>60</v>
      </c>
    </row>
    <row r="4" spans="1:6" x14ac:dyDescent="0.3">
      <c r="A4" t="s">
        <v>61</v>
      </c>
    </row>
    <row r="5" spans="1:6" x14ac:dyDescent="0.3">
      <c r="A5" t="s">
        <v>62</v>
      </c>
    </row>
    <row r="6" spans="1:6" x14ac:dyDescent="0.3">
      <c r="A6" t="s">
        <v>63</v>
      </c>
    </row>
    <row r="8" spans="1:6" x14ac:dyDescent="0.3">
      <c r="A8" s="2" t="s">
        <v>64</v>
      </c>
      <c r="B8" s="2" t="s">
        <v>65</v>
      </c>
      <c r="C8" s="2" t="s">
        <v>66</v>
      </c>
    </row>
    <row r="9" spans="1:6" x14ac:dyDescent="0.3">
      <c r="A9" t="s">
        <v>67</v>
      </c>
      <c r="B9" s="6">
        <v>2500</v>
      </c>
      <c r="C9" t="s">
        <v>68</v>
      </c>
    </row>
    <row r="10" spans="1:6" x14ac:dyDescent="0.3">
      <c r="A10" t="s">
        <v>69</v>
      </c>
      <c r="B10" s="6">
        <v>800</v>
      </c>
      <c r="C10" t="s">
        <v>68</v>
      </c>
    </row>
    <row r="11" spans="1:6" x14ac:dyDescent="0.3">
      <c r="A11" t="s">
        <v>70</v>
      </c>
      <c r="B11" s="6">
        <v>0.92</v>
      </c>
    </row>
    <row r="13" spans="1:6" x14ac:dyDescent="0.3">
      <c r="A13" t="s">
        <v>71</v>
      </c>
      <c r="B13" s="9">
        <f>((B9/1000000)*3 + (B10/1000000)*15)*B11</f>
        <v>1.7940000000000001E-2</v>
      </c>
    </row>
    <row r="15" spans="1:6" x14ac:dyDescent="0.3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77</v>
      </c>
    </row>
    <row r="16" spans="1:6" x14ac:dyDescent="0.3">
      <c r="A16" s="3" t="s">
        <v>78</v>
      </c>
      <c r="B16" s="6">
        <v>50</v>
      </c>
      <c r="C16">
        <f>B16*$B$13</f>
        <v>0.89700000000000002</v>
      </c>
      <c r="D16">
        <f>C16*0.5</f>
        <v>0.44850000000000001</v>
      </c>
      <c r="E16">
        <f>D16</f>
        <v>0.44850000000000001</v>
      </c>
      <c r="F16">
        <f>C16</f>
        <v>0.89700000000000002</v>
      </c>
    </row>
    <row r="17" spans="1:6" x14ac:dyDescent="0.3">
      <c r="A17" s="3" t="s">
        <v>79</v>
      </c>
      <c r="B17" s="6">
        <v>200</v>
      </c>
      <c r="C17">
        <f>B17*$B$13</f>
        <v>3.5880000000000001</v>
      </c>
      <c r="D17">
        <f>C17*0.5</f>
        <v>1.794</v>
      </c>
      <c r="E17">
        <f>D17</f>
        <v>1.794</v>
      </c>
      <c r="F17">
        <f>C17</f>
        <v>3.5880000000000001</v>
      </c>
    </row>
    <row r="18" spans="1:6" x14ac:dyDescent="0.3">
      <c r="A18" s="3" t="s">
        <v>80</v>
      </c>
      <c r="B18" s="6">
        <v>500</v>
      </c>
      <c r="C18">
        <f>B18*$B$13</f>
        <v>8.9700000000000006</v>
      </c>
      <c r="D18">
        <f>C18*0.5</f>
        <v>4.4850000000000003</v>
      </c>
      <c r="E18">
        <f>D18</f>
        <v>4.4850000000000003</v>
      </c>
      <c r="F18">
        <f>C18</f>
        <v>8.9700000000000006</v>
      </c>
    </row>
    <row r="19" spans="1:6" x14ac:dyDescent="0.3">
      <c r="A19" s="3" t="s">
        <v>81</v>
      </c>
      <c r="B19" s="6">
        <v>1000</v>
      </c>
      <c r="C19">
        <f>B19*$B$13</f>
        <v>17.940000000000001</v>
      </c>
      <c r="D19">
        <f>C19*0.5</f>
        <v>8.9700000000000006</v>
      </c>
      <c r="E19">
        <f>D19</f>
        <v>8.9700000000000006</v>
      </c>
      <c r="F19">
        <f>C19</f>
        <v>17.940000000000001</v>
      </c>
    </row>
    <row r="20" spans="1:6" x14ac:dyDescent="0.3">
      <c r="A20" s="3" t="s">
        <v>82</v>
      </c>
      <c r="B20" s="6">
        <v>3000</v>
      </c>
      <c r="C20">
        <f>B20*$B$13</f>
        <v>53.82</v>
      </c>
      <c r="D20">
        <f>C20*0.5</f>
        <v>26.91</v>
      </c>
      <c r="E20">
        <f>D20</f>
        <v>26.91</v>
      </c>
      <c r="F20">
        <f>C20</f>
        <v>53.82</v>
      </c>
    </row>
    <row r="21" spans="1:6" x14ac:dyDescent="0.3">
      <c r="A21" s="8" t="s">
        <v>83</v>
      </c>
      <c r="E21">
        <f>E17</f>
        <v>1.794</v>
      </c>
      <c r="F21">
        <f>F17</f>
        <v>3.5880000000000001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zoomScaleNormal="100" workbookViewId="0">
      <selection sqref="A1:D1"/>
    </sheetView>
  </sheetViews>
  <sheetFormatPr baseColWidth="10" defaultColWidth="8.6640625" defaultRowHeight="14.4" x14ac:dyDescent="0.3"/>
  <cols>
    <col min="1" max="1" width="35" customWidth="1"/>
    <col min="2" max="3" width="18" customWidth="1"/>
    <col min="4" max="4" width="45" customWidth="1"/>
  </cols>
  <sheetData>
    <row r="1" spans="1:4" x14ac:dyDescent="0.3">
      <c r="A1" s="1" t="s">
        <v>84</v>
      </c>
      <c r="B1" s="1"/>
      <c r="C1" s="1"/>
      <c r="D1" s="1"/>
    </row>
    <row r="3" spans="1:4" ht="15.6" x14ac:dyDescent="0.3">
      <c r="A3" s="10" t="s">
        <v>85</v>
      </c>
    </row>
    <row r="4" spans="1:4" x14ac:dyDescent="0.3">
      <c r="A4" s="2" t="s">
        <v>5</v>
      </c>
      <c r="B4" s="2" t="s">
        <v>86</v>
      </c>
      <c r="C4" s="2" t="s">
        <v>87</v>
      </c>
      <c r="D4" s="2" t="s">
        <v>8</v>
      </c>
    </row>
    <row r="5" spans="1:4" x14ac:dyDescent="0.3">
      <c r="A5" s="3" t="s">
        <v>88</v>
      </c>
      <c r="B5" s="3" t="s">
        <v>89</v>
      </c>
      <c r="C5" s="3" t="s">
        <v>90</v>
      </c>
      <c r="D5" s="3" t="s">
        <v>91</v>
      </c>
    </row>
    <row r="6" spans="1:4" x14ac:dyDescent="0.3">
      <c r="A6" s="3" t="s">
        <v>92</v>
      </c>
      <c r="B6" s="3" t="s">
        <v>93</v>
      </c>
      <c r="C6" s="3" t="s">
        <v>94</v>
      </c>
      <c r="D6" s="3" t="s">
        <v>95</v>
      </c>
    </row>
    <row r="7" spans="1:4" x14ac:dyDescent="0.3">
      <c r="A7" s="3" t="s">
        <v>96</v>
      </c>
      <c r="B7" s="3" t="s">
        <v>97</v>
      </c>
      <c r="C7" s="3" t="s">
        <v>94</v>
      </c>
      <c r="D7" s="3" t="s">
        <v>98</v>
      </c>
    </row>
    <row r="8" spans="1:4" x14ac:dyDescent="0.3">
      <c r="A8" s="3" t="s">
        <v>99</v>
      </c>
      <c r="B8" s="3" t="s">
        <v>100</v>
      </c>
      <c r="C8" s="3" t="s">
        <v>101</v>
      </c>
      <c r="D8" s="3" t="s">
        <v>102</v>
      </c>
    </row>
    <row r="10" spans="1:4" ht="15.6" x14ac:dyDescent="0.3">
      <c r="A10" s="10" t="s">
        <v>103</v>
      </c>
    </row>
    <row r="11" spans="1:4" x14ac:dyDescent="0.3">
      <c r="A11" s="2" t="s">
        <v>104</v>
      </c>
      <c r="B11" s="2" t="s">
        <v>105</v>
      </c>
      <c r="C11" s="2" t="s">
        <v>106</v>
      </c>
      <c r="D11" s="2" t="s">
        <v>8</v>
      </c>
    </row>
    <row r="12" spans="1:4" x14ac:dyDescent="0.3">
      <c r="A12" s="3" t="s">
        <v>107</v>
      </c>
      <c r="B12" s="3" t="s">
        <v>108</v>
      </c>
      <c r="C12" s="3" t="s">
        <v>109</v>
      </c>
      <c r="D12" s="3" t="s">
        <v>110</v>
      </c>
    </row>
    <row r="13" spans="1:4" x14ac:dyDescent="0.3">
      <c r="A13" s="3" t="s">
        <v>111</v>
      </c>
      <c r="B13" s="3" t="s">
        <v>112</v>
      </c>
      <c r="C13" s="3" t="s">
        <v>113</v>
      </c>
      <c r="D13" s="3" t="s">
        <v>114</v>
      </c>
    </row>
    <row r="14" spans="1:4" x14ac:dyDescent="0.3">
      <c r="A14" s="3" t="s">
        <v>115</v>
      </c>
      <c r="B14" s="3" t="s">
        <v>116</v>
      </c>
      <c r="C14" s="3" t="s">
        <v>117</v>
      </c>
      <c r="D14" s="3" t="s">
        <v>118</v>
      </c>
    </row>
    <row r="15" spans="1:4" x14ac:dyDescent="0.3">
      <c r="A15" s="3" t="s">
        <v>119</v>
      </c>
      <c r="B15" s="3" t="s">
        <v>120</v>
      </c>
      <c r="C15" s="3" t="s">
        <v>121</v>
      </c>
      <c r="D15" s="3" t="s">
        <v>122</v>
      </c>
    </row>
    <row r="16" spans="1:4" x14ac:dyDescent="0.3">
      <c r="A16" s="3" t="s">
        <v>123</v>
      </c>
      <c r="B16" s="3" t="s">
        <v>124</v>
      </c>
      <c r="C16" s="3" t="s">
        <v>125</v>
      </c>
      <c r="D16" s="3" t="s">
        <v>126</v>
      </c>
    </row>
    <row r="18" spans="1:4" ht="15.6" x14ac:dyDescent="0.3">
      <c r="A18" s="11" t="s">
        <v>127</v>
      </c>
    </row>
    <row r="19" spans="1:4" x14ac:dyDescent="0.3">
      <c r="A19" s="8" t="s">
        <v>128</v>
      </c>
      <c r="B19" s="6">
        <v>0</v>
      </c>
      <c r="C19" s="6">
        <v>10</v>
      </c>
      <c r="D19" t="s">
        <v>129</v>
      </c>
    </row>
    <row r="21" spans="1:4" x14ac:dyDescent="0.3">
      <c r="A21" t="s">
        <v>130</v>
      </c>
    </row>
    <row r="22" spans="1:4" x14ac:dyDescent="0.3">
      <c r="A22" t="s">
        <v>131</v>
      </c>
    </row>
    <row r="23" spans="1:4" x14ac:dyDescent="0.3">
      <c r="A23" t="s">
        <v>132</v>
      </c>
    </row>
    <row r="24" spans="1:4" x14ac:dyDescent="0.3">
      <c r="A24" t="s">
        <v>133</v>
      </c>
    </row>
    <row r="26" spans="1:4" x14ac:dyDescent="0.3">
      <c r="A26" s="12" t="s">
        <v>134</v>
      </c>
    </row>
    <row r="27" spans="1:4" x14ac:dyDescent="0.3">
      <c r="A27" t="s">
        <v>135</v>
      </c>
    </row>
    <row r="28" spans="1:4" x14ac:dyDescent="0.3">
      <c r="A28" t="s">
        <v>136</v>
      </c>
    </row>
    <row r="29" spans="1:4" x14ac:dyDescent="0.3">
      <c r="A29" t="s">
        <v>137</v>
      </c>
    </row>
    <row r="30" spans="1:4" x14ac:dyDescent="0.3">
      <c r="A30" t="s">
        <v>138</v>
      </c>
    </row>
    <row r="31" spans="1:4" x14ac:dyDescent="0.3">
      <c r="A31" t="s">
        <v>139</v>
      </c>
    </row>
    <row r="32" spans="1:4" x14ac:dyDescent="0.3">
      <c r="A32" t="s">
        <v>140</v>
      </c>
    </row>
    <row r="34" spans="1:4" x14ac:dyDescent="0.3">
      <c r="A34" s="8" t="s">
        <v>141</v>
      </c>
    </row>
    <row r="35" spans="1:4" x14ac:dyDescent="0.3">
      <c r="A35" s="2" t="s">
        <v>142</v>
      </c>
      <c r="B35" s="2" t="s">
        <v>65</v>
      </c>
      <c r="C35" s="2" t="s">
        <v>143</v>
      </c>
      <c r="D35" s="2" t="s">
        <v>144</v>
      </c>
    </row>
    <row r="36" spans="1:4" x14ac:dyDescent="0.3">
      <c r="A36" t="s">
        <v>145</v>
      </c>
      <c r="B36" s="6">
        <v>100</v>
      </c>
      <c r="C36">
        <f>IF(B36&lt;=250,5,5+(B36-250)*0.02)</f>
        <v>5</v>
      </c>
      <c r="D36">
        <f>B36*0.023</f>
        <v>2.2999999999999998</v>
      </c>
    </row>
    <row r="37" spans="1:4" x14ac:dyDescent="0.3">
      <c r="A37" t="s">
        <v>146</v>
      </c>
      <c r="B37" s="6">
        <v>50</v>
      </c>
      <c r="C37">
        <f>IF(B37&lt;=1024,0,(B37-1024)*0.01)</f>
        <v>0</v>
      </c>
      <c r="D37">
        <f>B37*0.09</f>
        <v>4.5</v>
      </c>
    </row>
    <row r="38" spans="1:4" x14ac:dyDescent="0.3">
      <c r="A38" s="8" t="s">
        <v>147</v>
      </c>
      <c r="C38" s="5">
        <f>(C36+C37)*0.92</f>
        <v>4.6000000000000005</v>
      </c>
      <c r="D38" s="5">
        <f>(D36+D37)*0.92</f>
        <v>6.2560000000000002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topLeftCell="A24" zoomScaleNormal="100" workbookViewId="0">
      <selection activeCell="C30" sqref="C30"/>
    </sheetView>
  </sheetViews>
  <sheetFormatPr baseColWidth="10" defaultColWidth="8.6640625" defaultRowHeight="14.4" x14ac:dyDescent="0.3"/>
  <cols>
    <col min="1" max="1" width="35" customWidth="1"/>
    <col min="2" max="2" width="18" customWidth="1"/>
    <col min="3" max="3" width="20" customWidth="1"/>
    <col min="4" max="4" width="45" customWidth="1"/>
    <col min="5" max="5" width="15" customWidth="1"/>
  </cols>
  <sheetData>
    <row r="1" spans="1:4" x14ac:dyDescent="0.3">
      <c r="A1" s="1" t="s">
        <v>148</v>
      </c>
      <c r="B1" s="1"/>
      <c r="C1" s="1"/>
      <c r="D1" s="1"/>
    </row>
    <row r="3" spans="1:4" ht="15.6" x14ac:dyDescent="0.3">
      <c r="A3" s="10" t="s">
        <v>149</v>
      </c>
    </row>
    <row r="4" spans="1:4" x14ac:dyDescent="0.3">
      <c r="A4" s="2" t="s">
        <v>150</v>
      </c>
      <c r="B4" s="2" t="s">
        <v>151</v>
      </c>
      <c r="C4" s="2" t="s">
        <v>152</v>
      </c>
      <c r="D4" s="2" t="s">
        <v>153</v>
      </c>
    </row>
    <row r="5" spans="1:4" x14ac:dyDescent="0.3">
      <c r="A5" s="3" t="s">
        <v>154</v>
      </c>
      <c r="B5" s="6">
        <v>27</v>
      </c>
      <c r="C5" s="3" t="s">
        <v>155</v>
      </c>
      <c r="D5" s="3" t="s">
        <v>156</v>
      </c>
    </row>
    <row r="6" spans="1:4" x14ac:dyDescent="0.3">
      <c r="A6" s="3" t="s">
        <v>157</v>
      </c>
      <c r="B6" s="6">
        <v>15</v>
      </c>
      <c r="C6" s="3" t="s">
        <v>158</v>
      </c>
      <c r="D6" s="3" t="s">
        <v>159</v>
      </c>
    </row>
    <row r="7" spans="1:4" x14ac:dyDescent="0.3">
      <c r="A7" s="3" t="s">
        <v>160</v>
      </c>
      <c r="B7" s="6">
        <v>12</v>
      </c>
      <c r="C7" s="3" t="s">
        <v>94</v>
      </c>
      <c r="D7" s="3" t="s">
        <v>161</v>
      </c>
    </row>
    <row r="8" spans="1:4" x14ac:dyDescent="0.3">
      <c r="A8" s="3" t="s">
        <v>162</v>
      </c>
      <c r="B8" s="6">
        <v>25</v>
      </c>
      <c r="C8" s="3" t="s">
        <v>94</v>
      </c>
      <c r="D8" s="3" t="s">
        <v>163</v>
      </c>
    </row>
    <row r="9" spans="1:4" x14ac:dyDescent="0.3">
      <c r="A9" s="3" t="s">
        <v>164</v>
      </c>
      <c r="B9" s="6">
        <v>0</v>
      </c>
      <c r="C9" s="3" t="s">
        <v>165</v>
      </c>
      <c r="D9" s="3" t="s">
        <v>166</v>
      </c>
    </row>
    <row r="10" spans="1:4" x14ac:dyDescent="0.3">
      <c r="A10" s="3" t="s">
        <v>167</v>
      </c>
      <c r="B10" s="6">
        <v>5</v>
      </c>
      <c r="C10" s="3" t="s">
        <v>168</v>
      </c>
      <c r="D10" s="3" t="s">
        <v>169</v>
      </c>
    </row>
    <row r="11" spans="1:4" x14ac:dyDescent="0.3">
      <c r="A11" s="3" t="s">
        <v>170</v>
      </c>
      <c r="B11" s="6">
        <v>10</v>
      </c>
      <c r="C11" s="3" t="s">
        <v>171</v>
      </c>
      <c r="D11" s="3" t="s">
        <v>172</v>
      </c>
    </row>
    <row r="12" spans="1:4" x14ac:dyDescent="0.3">
      <c r="A12" s="3" t="s">
        <v>173</v>
      </c>
      <c r="B12" s="6">
        <v>20</v>
      </c>
      <c r="C12" s="3" t="s">
        <v>94</v>
      </c>
      <c r="D12" s="3" t="s">
        <v>174</v>
      </c>
    </row>
    <row r="13" spans="1:4" x14ac:dyDescent="0.3">
      <c r="A13" s="3" t="s">
        <v>175</v>
      </c>
      <c r="B13" s="6">
        <v>8</v>
      </c>
      <c r="C13" s="3" t="s">
        <v>94</v>
      </c>
      <c r="D13" s="3" t="s">
        <v>176</v>
      </c>
    </row>
    <row r="14" spans="1:4" x14ac:dyDescent="0.3">
      <c r="A14" s="3" t="s">
        <v>177</v>
      </c>
      <c r="B14" s="6">
        <v>15</v>
      </c>
      <c r="C14" s="3" t="s">
        <v>94</v>
      </c>
      <c r="D14" s="3" t="s">
        <v>178</v>
      </c>
    </row>
    <row r="16" spans="1:4" x14ac:dyDescent="0.3">
      <c r="A16" s="8" t="s">
        <v>179</v>
      </c>
    </row>
    <row r="17" spans="1:4" x14ac:dyDescent="0.3">
      <c r="A17" s="2" t="s">
        <v>150</v>
      </c>
      <c r="B17" s="2" t="s">
        <v>180</v>
      </c>
      <c r="C17" s="2" t="s">
        <v>181</v>
      </c>
      <c r="D17" s="2" t="s">
        <v>8</v>
      </c>
    </row>
    <row r="18" spans="1:4" x14ac:dyDescent="0.3">
      <c r="A18" s="3" t="s">
        <v>182</v>
      </c>
      <c r="B18" s="3" t="s">
        <v>183</v>
      </c>
      <c r="C18" s="3" t="s">
        <v>184</v>
      </c>
      <c r="D18" s="3" t="s">
        <v>185</v>
      </c>
    </row>
    <row r="19" spans="1:4" x14ac:dyDescent="0.3">
      <c r="A19" s="3" t="s">
        <v>164</v>
      </c>
      <c r="B19" s="3" t="s">
        <v>183</v>
      </c>
      <c r="C19" s="3" t="s">
        <v>184</v>
      </c>
      <c r="D19" s="3" t="s">
        <v>186</v>
      </c>
    </row>
    <row r="20" spans="1:4" x14ac:dyDescent="0.3">
      <c r="A20" s="3" t="s">
        <v>160</v>
      </c>
      <c r="B20" s="3" t="s">
        <v>187</v>
      </c>
      <c r="C20" s="3" t="s">
        <v>184</v>
      </c>
      <c r="D20" s="3" t="s">
        <v>188</v>
      </c>
    </row>
    <row r="21" spans="1:4" x14ac:dyDescent="0.3">
      <c r="A21" s="3" t="s">
        <v>189</v>
      </c>
      <c r="B21" s="3" t="s">
        <v>190</v>
      </c>
      <c r="C21" s="3" t="s">
        <v>191</v>
      </c>
      <c r="D21" s="3" t="s">
        <v>192</v>
      </c>
    </row>
    <row r="22" spans="1:4" x14ac:dyDescent="0.3">
      <c r="A22" s="3" t="s">
        <v>193</v>
      </c>
      <c r="B22" s="3" t="s">
        <v>190</v>
      </c>
      <c r="C22" s="3" t="s">
        <v>191</v>
      </c>
      <c r="D22" s="3" t="s">
        <v>194</v>
      </c>
    </row>
    <row r="23" spans="1:4" x14ac:dyDescent="0.3">
      <c r="A23" s="3" t="s">
        <v>162</v>
      </c>
      <c r="B23" s="3" t="s">
        <v>190</v>
      </c>
      <c r="C23" s="3" t="s">
        <v>195</v>
      </c>
      <c r="D23" s="3" t="s">
        <v>196</v>
      </c>
    </row>
    <row r="24" spans="1:4" x14ac:dyDescent="0.3">
      <c r="A24" s="3" t="s">
        <v>170</v>
      </c>
      <c r="B24" s="3" t="s">
        <v>190</v>
      </c>
      <c r="C24" s="3" t="s">
        <v>191</v>
      </c>
      <c r="D24" s="3" t="s">
        <v>197</v>
      </c>
    </row>
    <row r="27" spans="1:4" ht="15.6" x14ac:dyDescent="0.3">
      <c r="A27" s="11" t="s">
        <v>198</v>
      </c>
    </row>
    <row r="28" spans="1:4" x14ac:dyDescent="0.3">
      <c r="A28" s="2" t="s">
        <v>5</v>
      </c>
      <c r="B28" s="2" t="s">
        <v>199</v>
      </c>
      <c r="C28" s="2" t="s">
        <v>200</v>
      </c>
      <c r="D28" s="2" t="s">
        <v>201</v>
      </c>
    </row>
    <row r="29" spans="1:4" x14ac:dyDescent="0.3">
      <c r="A29" t="s">
        <v>202</v>
      </c>
      <c r="B29" s="6">
        <v>1</v>
      </c>
      <c r="C29">
        <v>59</v>
      </c>
      <c r="D29">
        <f t="shared" ref="D29:D37" si="0">B29*C29</f>
        <v>59</v>
      </c>
    </row>
    <row r="30" spans="1:4" x14ac:dyDescent="0.3">
      <c r="A30" t="s">
        <v>203</v>
      </c>
      <c r="B30" s="6">
        <v>2</v>
      </c>
      <c r="C30">
        <v>27</v>
      </c>
      <c r="D30">
        <f t="shared" si="0"/>
        <v>54</v>
      </c>
    </row>
    <row r="31" spans="1:4" x14ac:dyDescent="0.3">
      <c r="A31" t="s">
        <v>204</v>
      </c>
      <c r="B31" s="6">
        <v>1</v>
      </c>
      <c r="C31">
        <v>19</v>
      </c>
      <c r="D31">
        <f t="shared" si="0"/>
        <v>19</v>
      </c>
    </row>
    <row r="32" spans="1:4" x14ac:dyDescent="0.3">
      <c r="A32" t="s">
        <v>205</v>
      </c>
      <c r="B32" s="6">
        <v>8</v>
      </c>
      <c r="C32">
        <v>1</v>
      </c>
      <c r="D32">
        <f t="shared" si="0"/>
        <v>8</v>
      </c>
    </row>
    <row r="33" spans="1:4" x14ac:dyDescent="0.3">
      <c r="A33" t="s">
        <v>206</v>
      </c>
      <c r="B33" s="6">
        <v>1</v>
      </c>
      <c r="C33">
        <v>12</v>
      </c>
      <c r="D33">
        <f t="shared" si="0"/>
        <v>12</v>
      </c>
    </row>
    <row r="34" spans="1:4" x14ac:dyDescent="0.3">
      <c r="A34" t="s">
        <v>207</v>
      </c>
      <c r="B34" s="6">
        <v>0</v>
      </c>
      <c r="C34">
        <v>25</v>
      </c>
      <c r="D34">
        <f t="shared" si="0"/>
        <v>0</v>
      </c>
    </row>
    <row r="35" spans="1:4" x14ac:dyDescent="0.3">
      <c r="A35" t="s">
        <v>167</v>
      </c>
      <c r="B35" s="6">
        <v>3</v>
      </c>
      <c r="C35">
        <v>5</v>
      </c>
      <c r="D35">
        <f t="shared" si="0"/>
        <v>15</v>
      </c>
    </row>
    <row r="36" spans="1:4" x14ac:dyDescent="0.3">
      <c r="A36" t="s">
        <v>208</v>
      </c>
      <c r="B36" s="6">
        <v>150</v>
      </c>
      <c r="C36">
        <v>0.25</v>
      </c>
      <c r="D36">
        <f t="shared" si="0"/>
        <v>37.5</v>
      </c>
    </row>
    <row r="37" spans="1:4" x14ac:dyDescent="0.3">
      <c r="A37" t="s">
        <v>177</v>
      </c>
      <c r="B37" s="6">
        <v>0</v>
      </c>
      <c r="C37">
        <v>15</v>
      </c>
      <c r="D37">
        <f t="shared" si="0"/>
        <v>0</v>
      </c>
    </row>
    <row r="39" spans="1:4" x14ac:dyDescent="0.3">
      <c r="A39" s="4" t="s">
        <v>209</v>
      </c>
      <c r="D39" s="4">
        <f>SUM(D29:D37)</f>
        <v>204.5</v>
      </c>
    </row>
    <row r="40" spans="1:4" x14ac:dyDescent="0.3">
      <c r="A40" s="8" t="s">
        <v>210</v>
      </c>
      <c r="D40" s="5">
        <f>D39*12</f>
        <v>2454</v>
      </c>
    </row>
    <row r="42" spans="1:4" x14ac:dyDescent="0.3">
      <c r="A42" s="8" t="s">
        <v>211</v>
      </c>
    </row>
    <row r="43" spans="1:4" x14ac:dyDescent="0.3">
      <c r="A43" t="s">
        <v>212</v>
      </c>
      <c r="B43">
        <f>Resumen!C13</f>
        <v>68.578000000000003</v>
      </c>
      <c r="C43" t="s">
        <v>213</v>
      </c>
    </row>
    <row r="44" spans="1:4" x14ac:dyDescent="0.3">
      <c r="A44" t="s">
        <v>214</v>
      </c>
      <c r="B44">
        <f>B36*0.015</f>
        <v>2.25</v>
      </c>
      <c r="C44" t="s">
        <v>213</v>
      </c>
    </row>
    <row r="45" spans="1:4" x14ac:dyDescent="0.3">
      <c r="A45" t="s">
        <v>215</v>
      </c>
      <c r="B45" s="5">
        <f>B43+B44</f>
        <v>70.828000000000003</v>
      </c>
    </row>
    <row r="46" spans="1:4" x14ac:dyDescent="0.3">
      <c r="A46" t="s">
        <v>216</v>
      </c>
      <c r="B46" s="5">
        <f>D39</f>
        <v>204.5</v>
      </c>
    </row>
    <row r="47" spans="1:4" x14ac:dyDescent="0.3">
      <c r="A47" t="s">
        <v>217</v>
      </c>
      <c r="B47" s="9">
        <f>B46-B45</f>
        <v>133.672</v>
      </c>
    </row>
    <row r="48" spans="1:4" x14ac:dyDescent="0.3">
      <c r="A48" t="s">
        <v>218</v>
      </c>
      <c r="B48" s="13">
        <f>B47/B46</f>
        <v>0.65365281173594125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8"/>
  <sheetViews>
    <sheetView zoomScaleNormal="100" workbookViewId="0">
      <selection activeCell="N1" sqref="N1"/>
    </sheetView>
  </sheetViews>
  <sheetFormatPr baseColWidth="10" defaultColWidth="8.6640625" defaultRowHeight="14.4" x14ac:dyDescent="0.3"/>
  <cols>
    <col min="1" max="1" width="6" customWidth="1"/>
    <col min="2" max="2" width="18" customWidth="1"/>
    <col min="3" max="3" width="12" customWidth="1"/>
    <col min="4" max="8" width="8" customWidth="1"/>
    <col min="9" max="9" width="10" customWidth="1"/>
    <col min="10" max="11" width="8" customWidth="1"/>
    <col min="12" max="12" width="10" customWidth="1"/>
    <col min="13" max="13" width="12" customWidth="1"/>
  </cols>
  <sheetData>
    <row r="1" spans="1:13" x14ac:dyDescent="0.3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">
      <c r="A3" s="8" t="s">
        <v>220</v>
      </c>
      <c r="E3" s="8" t="s">
        <v>221</v>
      </c>
    </row>
    <row r="4" spans="1:13" x14ac:dyDescent="0.3">
      <c r="A4" s="2" t="s">
        <v>41</v>
      </c>
      <c r="B4" s="2" t="s">
        <v>86</v>
      </c>
      <c r="C4" s="2" t="s">
        <v>222</v>
      </c>
      <c r="E4" s="2" t="s">
        <v>223</v>
      </c>
      <c r="F4" s="2" t="s">
        <v>213</v>
      </c>
    </row>
    <row r="5" spans="1:13" x14ac:dyDescent="0.3">
      <c r="A5" t="s">
        <v>224</v>
      </c>
      <c r="B5" s="6">
        <v>29</v>
      </c>
      <c r="C5">
        <v>2</v>
      </c>
      <c r="E5" t="s">
        <v>193</v>
      </c>
      <c r="F5" s="6">
        <v>27</v>
      </c>
    </row>
    <row r="6" spans="1:13" x14ac:dyDescent="0.3">
      <c r="A6" t="s">
        <v>225</v>
      </c>
      <c r="B6" s="6">
        <v>59</v>
      </c>
      <c r="C6">
        <v>5</v>
      </c>
      <c r="E6" t="s">
        <v>189</v>
      </c>
      <c r="F6" s="6">
        <v>15</v>
      </c>
    </row>
    <row r="7" spans="1:13" x14ac:dyDescent="0.3">
      <c r="A7" t="s">
        <v>226</v>
      </c>
      <c r="B7" s="6">
        <v>99</v>
      </c>
      <c r="C7">
        <v>10</v>
      </c>
      <c r="E7" t="s">
        <v>227</v>
      </c>
      <c r="F7" s="6">
        <v>1</v>
      </c>
    </row>
    <row r="8" spans="1:13" x14ac:dyDescent="0.3">
      <c r="A8" t="s">
        <v>228</v>
      </c>
      <c r="B8" s="6">
        <v>199</v>
      </c>
      <c r="C8">
        <v>999</v>
      </c>
      <c r="E8" t="s">
        <v>160</v>
      </c>
      <c r="F8" s="6">
        <v>12</v>
      </c>
    </row>
    <row r="9" spans="1:13" x14ac:dyDescent="0.3">
      <c r="E9" t="s">
        <v>162</v>
      </c>
      <c r="F9" s="6">
        <v>25</v>
      </c>
    </row>
    <row r="10" spans="1:13" x14ac:dyDescent="0.3">
      <c r="E10" t="s">
        <v>229</v>
      </c>
      <c r="F10" s="6">
        <v>5</v>
      </c>
    </row>
    <row r="11" spans="1:13" x14ac:dyDescent="0.3">
      <c r="E11" t="s">
        <v>230</v>
      </c>
      <c r="F11" s="6">
        <v>10</v>
      </c>
    </row>
    <row r="12" spans="1:13" x14ac:dyDescent="0.3">
      <c r="E12" t="s">
        <v>231</v>
      </c>
      <c r="F12" s="6">
        <v>20</v>
      </c>
    </row>
    <row r="13" spans="1:13" x14ac:dyDescent="0.3">
      <c r="E13" t="s">
        <v>232</v>
      </c>
      <c r="F13" s="6">
        <v>8</v>
      </c>
    </row>
    <row r="14" spans="1:13" x14ac:dyDescent="0.3">
      <c r="E14" t="s">
        <v>233</v>
      </c>
      <c r="F14" s="6">
        <v>15</v>
      </c>
    </row>
    <row r="17" spans="1:12" ht="15.6" x14ac:dyDescent="0.3">
      <c r="A17" s="11" t="s">
        <v>234</v>
      </c>
    </row>
    <row r="18" spans="1:12" x14ac:dyDescent="0.3">
      <c r="A18" s="2" t="s">
        <v>235</v>
      </c>
      <c r="B18" s="2" t="s">
        <v>236</v>
      </c>
      <c r="C18" s="2" t="s">
        <v>237</v>
      </c>
      <c r="D18" s="2" t="s">
        <v>238</v>
      </c>
      <c r="E18" s="2" t="s">
        <v>189</v>
      </c>
      <c r="F18" s="2" t="s">
        <v>239</v>
      </c>
      <c r="G18" s="2" t="s">
        <v>240</v>
      </c>
      <c r="H18" s="2" t="s">
        <v>241</v>
      </c>
      <c r="I18" s="2" t="s">
        <v>242</v>
      </c>
      <c r="J18" s="2" t="s">
        <v>231</v>
      </c>
      <c r="K18" s="2" t="s">
        <v>243</v>
      </c>
      <c r="L18" s="2" t="s">
        <v>244</v>
      </c>
    </row>
    <row r="19" spans="1:12" x14ac:dyDescent="0.3">
      <c r="A19">
        <v>1</v>
      </c>
      <c r="B19" t="s">
        <v>245</v>
      </c>
      <c r="C19" s="6">
        <v>2</v>
      </c>
      <c r="D19" s="6">
        <v>1</v>
      </c>
      <c r="E19" s="6">
        <v>1</v>
      </c>
      <c r="F19" s="6">
        <v>5</v>
      </c>
      <c r="G19" s="6">
        <v>1</v>
      </c>
      <c r="H19" s="6">
        <v>0</v>
      </c>
      <c r="I19" s="6">
        <v>2</v>
      </c>
      <c r="J19" s="6">
        <v>0</v>
      </c>
      <c r="K19" s="6">
        <v>100</v>
      </c>
      <c r="L19" s="5">
        <f t="shared" ref="L19:L28" si="0">IF(C19=0,0,IF(C19=1,$B$5,IF(C19=2,$B$6,IF(C19=3,$B$7,$B$8)))+D19*$F$5+E19*$F$6+F19*$F$7+G19*$F$8+H19*$F$9+I19*$F$10+J19*$F$14+K19*0.2)</f>
        <v>148</v>
      </c>
    </row>
    <row r="20" spans="1:12" x14ac:dyDescent="0.3">
      <c r="A20">
        <v>2</v>
      </c>
      <c r="B20" t="s">
        <v>246</v>
      </c>
      <c r="C20" s="6">
        <v>3</v>
      </c>
      <c r="D20" s="6">
        <v>3</v>
      </c>
      <c r="E20" s="6">
        <v>1</v>
      </c>
      <c r="F20" s="6">
        <v>15</v>
      </c>
      <c r="G20" s="6">
        <v>1</v>
      </c>
      <c r="H20" s="6">
        <v>1</v>
      </c>
      <c r="I20" s="6">
        <v>5</v>
      </c>
      <c r="J20" s="6">
        <v>1</v>
      </c>
      <c r="K20" s="6">
        <v>300</v>
      </c>
      <c r="L20" s="5">
        <f t="shared" si="0"/>
        <v>347</v>
      </c>
    </row>
    <row r="21" spans="1:12" x14ac:dyDescent="0.3">
      <c r="A21">
        <v>3</v>
      </c>
      <c r="B21" t="s">
        <v>247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20</v>
      </c>
      <c r="L21" s="5">
        <f t="shared" si="0"/>
        <v>33</v>
      </c>
    </row>
    <row r="22" spans="1:12" x14ac:dyDescent="0.3">
      <c r="A22">
        <v>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5">
        <f t="shared" si="0"/>
        <v>0</v>
      </c>
    </row>
    <row r="23" spans="1:12" x14ac:dyDescent="0.3">
      <c r="A23">
        <v>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5">
        <f t="shared" si="0"/>
        <v>0</v>
      </c>
    </row>
    <row r="24" spans="1:12" x14ac:dyDescent="0.3">
      <c r="A24">
        <v>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5">
        <f t="shared" si="0"/>
        <v>0</v>
      </c>
    </row>
    <row r="25" spans="1:12" x14ac:dyDescent="0.3">
      <c r="A25">
        <v>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5">
        <f t="shared" si="0"/>
        <v>0</v>
      </c>
    </row>
    <row r="26" spans="1:12" x14ac:dyDescent="0.3">
      <c r="A26">
        <v>8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5">
        <f t="shared" si="0"/>
        <v>0</v>
      </c>
    </row>
    <row r="27" spans="1:12" x14ac:dyDescent="0.3">
      <c r="A27">
        <v>9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5">
        <f t="shared" si="0"/>
        <v>0</v>
      </c>
    </row>
    <row r="28" spans="1:12" x14ac:dyDescent="0.3">
      <c r="A28">
        <v>10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5">
        <f t="shared" si="0"/>
        <v>0</v>
      </c>
    </row>
    <row r="29" spans="1:12" x14ac:dyDescent="0.3">
      <c r="A29" s="8" t="s">
        <v>248</v>
      </c>
      <c r="K29">
        <f>SUM(K19:K28)</f>
        <v>420</v>
      </c>
      <c r="L29" s="4">
        <f>SUM(L19:L28)</f>
        <v>528</v>
      </c>
    </row>
    <row r="32" spans="1:12" ht="15.6" x14ac:dyDescent="0.3">
      <c r="A32" s="11" t="s">
        <v>249</v>
      </c>
      <c r="E32" s="8" t="s">
        <v>250</v>
      </c>
    </row>
    <row r="33" spans="1:6" x14ac:dyDescent="0.3">
      <c r="A33" s="2" t="s">
        <v>5</v>
      </c>
      <c r="B33" s="2" t="s">
        <v>251</v>
      </c>
      <c r="C33" s="2" t="s">
        <v>8</v>
      </c>
      <c r="E33" t="s">
        <v>252</v>
      </c>
      <c r="F33" s="8">
        <f>COUNTIF(C19:C28,"&gt;0")</f>
        <v>3</v>
      </c>
    </row>
    <row r="34" spans="1:6" x14ac:dyDescent="0.3">
      <c r="A34" t="s">
        <v>253</v>
      </c>
      <c r="B34" s="14">
        <f>L29</f>
        <v>528</v>
      </c>
      <c r="C34" t="s">
        <v>254</v>
      </c>
      <c r="E34" t="s">
        <v>255</v>
      </c>
      <c r="F34" s="8">
        <f>IF(F33&gt;0,L29/F33,0)</f>
        <v>176</v>
      </c>
    </row>
    <row r="35" spans="1:6" x14ac:dyDescent="0.3">
      <c r="A35" t="s">
        <v>256</v>
      </c>
      <c r="B35">
        <f>Resumen!C13</f>
        <v>68.578000000000003</v>
      </c>
      <c r="C35" t="s">
        <v>257</v>
      </c>
      <c r="E35" t="s">
        <v>258</v>
      </c>
      <c r="F35">
        <f>K29</f>
        <v>420</v>
      </c>
    </row>
    <row r="36" spans="1:6" x14ac:dyDescent="0.3">
      <c r="A36" t="s">
        <v>259</v>
      </c>
      <c r="B36">
        <f>K29*0.015</f>
        <v>6.3</v>
      </c>
      <c r="C36" t="s">
        <v>260</v>
      </c>
      <c r="E36" t="s">
        <v>261</v>
      </c>
      <c r="F36">
        <f>K29*0.2</f>
        <v>84</v>
      </c>
    </row>
    <row r="37" spans="1:6" x14ac:dyDescent="0.3">
      <c r="A37" t="s">
        <v>262</v>
      </c>
      <c r="B37" s="6">
        <v>50</v>
      </c>
      <c r="C37" t="s">
        <v>263</v>
      </c>
      <c r="E37" t="s">
        <v>264</v>
      </c>
      <c r="F37" s="14">
        <f>F36-(K29*0.015)</f>
        <v>77.7</v>
      </c>
    </row>
    <row r="38" spans="1:6" x14ac:dyDescent="0.3">
      <c r="A38" t="s">
        <v>265</v>
      </c>
      <c r="B38" s="15">
        <f>SUM(B35:B37)</f>
        <v>124.878</v>
      </c>
    </row>
    <row r="39" spans="1:6" ht="15.6" x14ac:dyDescent="0.3">
      <c r="A39" t="s">
        <v>266</v>
      </c>
      <c r="B39" s="11">
        <f>B34-B38</f>
        <v>403.12200000000001</v>
      </c>
      <c r="E39" t="s">
        <v>267</v>
      </c>
      <c r="F39">
        <f>COUNTIF(C19:C28,1)</f>
        <v>1</v>
      </c>
    </row>
    <row r="40" spans="1:6" x14ac:dyDescent="0.3">
      <c r="A40" t="s">
        <v>268</v>
      </c>
      <c r="B40" s="16">
        <f>IF(B34&gt;0,B39/B34,0)</f>
        <v>0.7634886363636364</v>
      </c>
      <c r="E40" t="s">
        <v>269</v>
      </c>
      <c r="F40">
        <f>COUNTIF(C19:C28,2)</f>
        <v>1</v>
      </c>
    </row>
    <row r="41" spans="1:6" x14ac:dyDescent="0.3">
      <c r="E41" t="s">
        <v>270</v>
      </c>
      <c r="F41">
        <f>COUNTIF(C19:C28,3)</f>
        <v>1</v>
      </c>
    </row>
    <row r="42" spans="1:6" x14ac:dyDescent="0.3">
      <c r="A42" s="8" t="s">
        <v>271</v>
      </c>
      <c r="E42" t="s">
        <v>272</v>
      </c>
      <c r="F42">
        <f>COUNTIF(C19:C28,4)</f>
        <v>0</v>
      </c>
    </row>
    <row r="43" spans="1:6" x14ac:dyDescent="0.3">
      <c r="A43" t="s">
        <v>273</v>
      </c>
      <c r="B43" s="14">
        <f>B34*12</f>
        <v>6336</v>
      </c>
    </row>
    <row r="44" spans="1:6" x14ac:dyDescent="0.3">
      <c r="A44" t="s">
        <v>274</v>
      </c>
      <c r="B44" s="17">
        <f>B38*12</f>
        <v>1498.5360000000001</v>
      </c>
    </row>
    <row r="45" spans="1:6" x14ac:dyDescent="0.3">
      <c r="A45" t="s">
        <v>275</v>
      </c>
      <c r="B45" s="9">
        <f>B43-B44</f>
        <v>4837.4639999999999</v>
      </c>
    </row>
    <row r="47" spans="1:6" x14ac:dyDescent="0.3">
      <c r="A47" s="8" t="s">
        <v>276</v>
      </c>
    </row>
    <row r="48" spans="1:6" x14ac:dyDescent="0.3">
      <c r="A48" t="s">
        <v>277</v>
      </c>
      <c r="B48" s="6">
        <v>8000</v>
      </c>
      <c r="C48" t="s">
        <v>278</v>
      </c>
    </row>
    <row r="49" spans="1:2" x14ac:dyDescent="0.3">
      <c r="A49" t="s">
        <v>279</v>
      </c>
      <c r="B49" s="9">
        <f>IF(B39&gt;0,ROUND(B48/B39,1),"N/A")</f>
        <v>19.8</v>
      </c>
    </row>
    <row r="52" spans="1:2" x14ac:dyDescent="0.3">
      <c r="A52" s="8" t="s">
        <v>280</v>
      </c>
    </row>
    <row r="53" spans="1:2" x14ac:dyDescent="0.3">
      <c r="A53" t="s">
        <v>281</v>
      </c>
    </row>
    <row r="54" spans="1:2" x14ac:dyDescent="0.3">
      <c r="A54" t="s">
        <v>282</v>
      </c>
    </row>
    <row r="55" spans="1:2" x14ac:dyDescent="0.3">
      <c r="A55" t="s">
        <v>283</v>
      </c>
    </row>
    <row r="56" spans="1:2" x14ac:dyDescent="0.3">
      <c r="A56" t="s">
        <v>284</v>
      </c>
    </row>
    <row r="57" spans="1:2" x14ac:dyDescent="0.3">
      <c r="A57" t="s">
        <v>285</v>
      </c>
    </row>
    <row r="58" spans="1:2" x14ac:dyDescent="0.3">
      <c r="A58" t="s">
        <v>286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"/>
  <sheetViews>
    <sheetView topLeftCell="A7" zoomScaleNormal="100" workbookViewId="0">
      <selection sqref="A1:D1"/>
    </sheetView>
  </sheetViews>
  <sheetFormatPr baseColWidth="10" defaultColWidth="8.6640625" defaultRowHeight="14.4" x14ac:dyDescent="0.3"/>
  <cols>
    <col min="1" max="1" width="25" customWidth="1"/>
    <col min="2" max="3" width="15" customWidth="1"/>
    <col min="4" max="4" width="35" customWidth="1"/>
  </cols>
  <sheetData>
    <row r="1" spans="1:4" x14ac:dyDescent="0.3">
      <c r="A1" s="1" t="s">
        <v>287</v>
      </c>
      <c r="B1" s="1"/>
      <c r="C1" s="1"/>
      <c r="D1" s="1"/>
    </row>
    <row r="3" spans="1:4" x14ac:dyDescent="0.3">
      <c r="A3" s="2" t="s">
        <v>41</v>
      </c>
      <c r="B3" s="2" t="s">
        <v>288</v>
      </c>
      <c r="C3" s="2" t="s">
        <v>24</v>
      </c>
      <c r="D3" s="2" t="s">
        <v>289</v>
      </c>
    </row>
    <row r="4" spans="1:4" x14ac:dyDescent="0.3">
      <c r="A4" s="3" t="s">
        <v>290</v>
      </c>
      <c r="B4" s="3" t="s">
        <v>291</v>
      </c>
      <c r="C4" s="6">
        <v>29</v>
      </c>
      <c r="D4" s="3" t="s">
        <v>292</v>
      </c>
    </row>
    <row r="5" spans="1:4" x14ac:dyDescent="0.3">
      <c r="A5" s="3" t="s">
        <v>293</v>
      </c>
      <c r="B5" s="3" t="s">
        <v>294</v>
      </c>
      <c r="C5" s="6">
        <v>59</v>
      </c>
      <c r="D5" s="3" t="s">
        <v>295</v>
      </c>
    </row>
    <row r="6" spans="1:4" x14ac:dyDescent="0.3">
      <c r="A6" s="3" t="s">
        <v>296</v>
      </c>
      <c r="B6" s="3" t="s">
        <v>297</v>
      </c>
      <c r="C6" s="6">
        <v>99</v>
      </c>
      <c r="D6" s="3" t="s">
        <v>298</v>
      </c>
    </row>
    <row r="7" spans="1:4" x14ac:dyDescent="0.3">
      <c r="A7" s="3" t="s">
        <v>82</v>
      </c>
      <c r="B7" s="3" t="s">
        <v>299</v>
      </c>
      <c r="C7" s="6">
        <v>199</v>
      </c>
      <c r="D7" s="3" t="s">
        <v>300</v>
      </c>
    </row>
    <row r="10" spans="1:4" x14ac:dyDescent="0.3">
      <c r="A10" s="8" t="s">
        <v>301</v>
      </c>
    </row>
    <row r="11" spans="1:4" x14ac:dyDescent="0.3">
      <c r="A11" s="2" t="s">
        <v>302</v>
      </c>
      <c r="B11" s="2" t="s">
        <v>303</v>
      </c>
      <c r="C11" s="2" t="s">
        <v>304</v>
      </c>
      <c r="D11" s="2" t="s">
        <v>305</v>
      </c>
    </row>
    <row r="12" spans="1:4" x14ac:dyDescent="0.3">
      <c r="A12" s="3" t="s">
        <v>306</v>
      </c>
      <c r="B12" s="6">
        <v>0.3</v>
      </c>
      <c r="C12" s="3">
        <f>0.015</f>
        <v>1.4999999999999999E-2</v>
      </c>
      <c r="D12" s="18">
        <f>1-(C12/B12)</f>
        <v>0.95</v>
      </c>
    </row>
    <row r="13" spans="1:4" x14ac:dyDescent="0.3">
      <c r="A13" s="3" t="s">
        <v>307</v>
      </c>
      <c r="B13" s="6">
        <v>0.25</v>
      </c>
      <c r="C13" s="3">
        <f>0.015</f>
        <v>1.4999999999999999E-2</v>
      </c>
      <c r="D13" s="18">
        <f>1-(C13/B13)</f>
        <v>0.94</v>
      </c>
    </row>
    <row r="14" spans="1:4" x14ac:dyDescent="0.3">
      <c r="A14" s="3" t="s">
        <v>308</v>
      </c>
      <c r="B14" s="6">
        <v>0.2</v>
      </c>
      <c r="C14" s="3">
        <f>0.015</f>
        <v>1.4999999999999999E-2</v>
      </c>
      <c r="D14" s="18">
        <f>1-(C14/B14)</f>
        <v>0.92500000000000004</v>
      </c>
    </row>
    <row r="15" spans="1:4" x14ac:dyDescent="0.3">
      <c r="A15" s="3" t="s">
        <v>309</v>
      </c>
      <c r="B15" s="6">
        <v>0.15</v>
      </c>
      <c r="C15" s="3">
        <f>0.015</f>
        <v>1.4999999999999999E-2</v>
      </c>
      <c r="D15" s="18">
        <f>1-(C15/B15)</f>
        <v>0.9</v>
      </c>
    </row>
    <row r="16" spans="1:4" x14ac:dyDescent="0.3">
      <c r="A16" s="3" t="s">
        <v>310</v>
      </c>
      <c r="B16" s="6">
        <v>0.12</v>
      </c>
      <c r="C16" s="3">
        <f>0.015</f>
        <v>1.4999999999999999E-2</v>
      </c>
      <c r="D16" s="18">
        <f>1-(C16/B16)</f>
        <v>0.875</v>
      </c>
    </row>
    <row r="19" spans="1:3" x14ac:dyDescent="0.3">
      <c r="A19" s="8" t="s">
        <v>311</v>
      </c>
    </row>
    <row r="20" spans="1:3" x14ac:dyDescent="0.3">
      <c r="A20" t="s">
        <v>312</v>
      </c>
      <c r="B20" s="6">
        <v>8000</v>
      </c>
      <c r="C20" t="s">
        <v>313</v>
      </c>
    </row>
    <row r="21" spans="1:3" x14ac:dyDescent="0.3">
      <c r="A21" t="s">
        <v>314</v>
      </c>
      <c r="B21" s="6">
        <v>10</v>
      </c>
    </row>
    <row r="22" spans="1:3" x14ac:dyDescent="0.3">
      <c r="A22" t="s">
        <v>315</v>
      </c>
      <c r="B22" s="5">
        <f>B21*59</f>
        <v>590</v>
      </c>
    </row>
    <row r="23" spans="1:3" x14ac:dyDescent="0.3">
      <c r="A23" t="s">
        <v>316</v>
      </c>
      <c r="B23" s="5">
        <f>Resumen!C13</f>
        <v>68.578000000000003</v>
      </c>
    </row>
    <row r="24" spans="1:3" x14ac:dyDescent="0.3">
      <c r="A24" t="s">
        <v>317</v>
      </c>
      <c r="B24" s="4">
        <f>B22-B23</f>
        <v>521.42200000000003</v>
      </c>
    </row>
    <row r="25" spans="1:3" x14ac:dyDescent="0.3">
      <c r="A25" t="s">
        <v>318</v>
      </c>
      <c r="B25" s="9">
        <f>ROUND(B20/B24,1)</f>
        <v>15.3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Hosting</vt:lpstr>
      <vt:lpstr>MongoDB</vt:lpstr>
      <vt:lpstr>API Claude</vt:lpstr>
      <vt:lpstr>Almacenamiento</vt:lpstr>
      <vt:lpstr>Add-ons</vt:lpstr>
      <vt:lpstr>Simulador ROI</vt:lpstr>
      <vt:lpstr>Precios SaaS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taller tpcomputer</cp:lastModifiedBy>
  <cp:revision>0</cp:revision>
  <dcterms:created xsi:type="dcterms:W3CDTF">2025-12-22T14:39:22Z</dcterms:created>
  <dcterms:modified xsi:type="dcterms:W3CDTF">2025-12-27T17:00:30Z</dcterms:modified>
  <dc:language>en-US</dc:language>
</cp:coreProperties>
</file>