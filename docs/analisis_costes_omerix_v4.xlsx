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Hosting" sheetId="2" state="visible" r:id="rId4"/>
    <sheet name="MongoDB" sheetId="3" state="visible" r:id="rId5"/>
    <sheet name="API Claude" sheetId="4" state="visible" r:id="rId6"/>
    <sheet name="Almacenamiento" sheetId="5" state="visible" r:id="rId7"/>
    <sheet name="Add-ons" sheetId="6" state="visible" r:id="rId8"/>
    <sheet name="Simulador ROI" sheetId="7" state="visible" r:id="rId9"/>
    <sheet name="Precios Saa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<sst xmlns="http://schemas.openxmlformats.org/spreadsheetml/2006/main" count="365" uniqueCount="319">
  <si>
    <t xml:space="preserve">ANÁLISIS DE COSTES - OMERIX ERP</t>
  </si>
  <si>
    <t xml:space="preserve">Fecha de análisis:</t>
  </si>
  <si>
    <t xml:space="preserve">Diciembre 2025</t>
  </si>
  <si>
    <t xml:space="preserve">Moneda:</t>
  </si>
  <si>
    <t xml:space="preserve">EUR (€)</t>
  </si>
  <si>
    <t xml:space="preserve">Concepto</t>
  </si>
  <si>
    <t xml:space="preserve">Mínimo (€/mes)</t>
  </si>
  <si>
    <t xml:space="preserve">Máximo (€/mes)</t>
  </si>
  <si>
    <t xml:space="preserve">Notas</t>
  </si>
  <si>
    <t xml:space="preserve">Hosting VPS</t>
  </si>
  <si>
    <t xml:space="preserve">Hostinger KVM recomendado</t>
  </si>
  <si>
    <t xml:space="preserve">MongoDB Atlas</t>
  </si>
  <si>
    <t xml:space="preserve">M0 gratis, M5 para producción</t>
  </si>
  <si>
    <t xml:space="preserve">API Claude (IA)</t>
  </si>
  <si>
    <t xml:space="preserve">Coste por procesamiento albaranes</t>
  </si>
  <si>
    <t xml:space="preserve">Almacenamiento (S3/DO)</t>
  </si>
  <si>
    <t xml:space="preserve">Para archivos y backups</t>
  </si>
  <si>
    <t xml:space="preserve">Dominio + SSL</t>
  </si>
  <si>
    <t xml:space="preserve">Renovación anual prorrateada</t>
  </si>
  <si>
    <t xml:space="preserve">Backup extra</t>
  </si>
  <si>
    <t xml:space="preserve">Opcional según proveedor</t>
  </si>
  <si>
    <t xml:space="preserve">TOTAL INFRAESTRUCTURA</t>
  </si>
  <si>
    <t xml:space="preserve">HOSTING VPS - COMPARATIVA</t>
  </si>
  <si>
    <t xml:space="preserve">Proveedor / Plan</t>
  </si>
  <si>
    <t xml:space="preserve">Precio (€/mes)</t>
  </si>
  <si>
    <t xml:space="preserve">Specs</t>
  </si>
  <si>
    <t xml:space="preserve">Hostinger KVM1</t>
  </si>
  <si>
    <t xml:space="preserve">1 vCPU, 4GB RAM</t>
  </si>
  <si>
    <t xml:space="preserve">Básico para desarrollo</t>
  </si>
  <si>
    <t xml:space="preserve">Hostinger KVM2 ⭐</t>
  </si>
  <si>
    <t xml:space="preserve">2 vCPU, 8GB RAM</t>
  </si>
  <si>
    <t xml:space="preserve">RECOMENDADO para producción</t>
  </si>
  <si>
    <t xml:space="preserve">Hostinger KVM4</t>
  </si>
  <si>
    <t xml:space="preserve">4 vCPU, 16GB RAM</t>
  </si>
  <si>
    <t xml:space="preserve">Para múltiples clientes</t>
  </si>
  <si>
    <t xml:space="preserve">DigitalOcean Droplet</t>
  </si>
  <si>
    <t xml:space="preserve">2 vCPU, 4GB RAM</t>
  </si>
  <si>
    <t xml:space="preserve">Alternativa premium</t>
  </si>
  <si>
    <t xml:space="preserve">Rango recomendado:</t>
  </si>
  <si>
    <t xml:space="preserve">Fácil deploy, puede escalar</t>
  </si>
  <si>
    <t xml:space="preserve">MONGODB ATLAS - PLANES</t>
  </si>
  <si>
    <t xml:space="preserve">Plan</t>
  </si>
  <si>
    <t xml:space="preserve">Almacen.</t>
  </si>
  <si>
    <t xml:space="preserve">M0 (Free)</t>
  </si>
  <si>
    <t xml:space="preserve">512 MB</t>
  </si>
  <si>
    <t xml:space="preserve">Desarrollo/testing, sin SLA</t>
  </si>
  <si>
    <t xml:space="preserve">M2 (Shared)</t>
  </si>
  <si>
    <t xml:space="preserve">2 GB</t>
  </si>
  <si>
    <t xml:space="preserve">Pequeños proyectos</t>
  </si>
  <si>
    <t xml:space="preserve">M5 (Shared) ⭐</t>
  </si>
  <si>
    <t xml:space="preserve">5 GB</t>
  </si>
  <si>
    <t xml:space="preserve">RECOMENDADO producción básica</t>
  </si>
  <si>
    <t xml:space="preserve">M10 (Dedicated)</t>
  </si>
  <si>
    <t xml:space="preserve">10 GB</t>
  </si>
  <si>
    <t xml:space="preserve">Alta disponibilidad</t>
  </si>
  <si>
    <t xml:space="preserve">M20 (Dedicated)</t>
  </si>
  <si>
    <t xml:space="preserve">20 GB</t>
  </si>
  <si>
    <t xml:space="preserve">Múltiples clientes</t>
  </si>
  <si>
    <t xml:space="preserve">Rango típico:</t>
  </si>
  <si>
    <t xml:space="preserve">COSTES API CLAUDE - PROCESAMIENTO ALBARANES</t>
  </si>
  <si>
    <t xml:space="preserve">Modelo: Claude Sonnet 4.5</t>
  </si>
  <si>
    <t xml:space="preserve">Precio entrada: $3 / millón tokens</t>
  </si>
  <si>
    <t xml:space="preserve">Precio salida: $15 / millón tokens</t>
  </si>
  <si>
    <t xml:space="preserve">Descuento Batch API: 50%</t>
  </si>
  <si>
    <t xml:space="preserve">Parámetro</t>
  </si>
  <si>
    <t xml:space="preserve">Valor</t>
  </si>
  <si>
    <t xml:space="preserve">Unidad</t>
  </si>
  <si>
    <t xml:space="preserve">Tokens entrada por albarán</t>
  </si>
  <si>
    <t xml:space="preserve">tokens</t>
  </si>
  <si>
    <t xml:space="preserve">Tokens salida por albarán</t>
  </si>
  <si>
    <t xml:space="preserve">Tipo cambio EUR/USD</t>
  </si>
  <si>
    <t xml:space="preserve">Coste por albarán (€):</t>
  </si>
  <si>
    <t xml:space="preserve">Escenario</t>
  </si>
  <si>
    <t xml:space="preserve">Albaranes/mes</t>
  </si>
  <si>
    <t xml:space="preserve">Coste (€)</t>
  </si>
  <si>
    <t xml:space="preserve">Con Batch -50%</t>
  </si>
  <si>
    <t xml:space="preserve">Mínimo</t>
  </si>
  <si>
    <t xml:space="preserve">Máximo</t>
  </si>
  <si>
    <t xml:space="preserve">Autónomo</t>
  </si>
  <si>
    <t xml:space="preserve">Pequeño negocio</t>
  </si>
  <si>
    <t xml:space="preserve">Mediano</t>
  </si>
  <si>
    <t xml:space="preserve">Grande</t>
  </si>
  <si>
    <t xml:space="preserve">Enterprise</t>
  </si>
  <si>
    <t xml:space="preserve">Rango típico (pequeño):</t>
  </si>
  <si>
    <t xml:space="preserve">ALMACENAMIENTO - DIGITALOCEAN SPACES vs AWS S3</t>
  </si>
  <si>
    <t xml:space="preserve">📦 DIGITALOCEAN SPACES</t>
  </si>
  <si>
    <t xml:space="preserve">Precio</t>
  </si>
  <si>
    <t xml:space="preserve">Incluido</t>
  </si>
  <si>
    <t xml:space="preserve">Plan base</t>
  </si>
  <si>
    <t xml:space="preserve">$5/mes</t>
  </si>
  <si>
    <t xml:space="preserve">250 GB + 1 TB transfer</t>
  </si>
  <si>
    <t xml:space="preserve">CDN incluido gratis</t>
  </si>
  <si>
    <t xml:space="preserve">Almacenamiento extra</t>
  </si>
  <si>
    <t xml:space="preserve">$0.02/GiB</t>
  </si>
  <si>
    <t xml:space="preserve">-</t>
  </si>
  <si>
    <t xml:space="preserve">Sobre los 250 GB</t>
  </si>
  <si>
    <t xml:space="preserve">Transferencia extra</t>
  </si>
  <si>
    <t xml:space="preserve">$0.01/GiB</t>
  </si>
  <si>
    <t xml:space="preserve">Sobre 1 TB salida</t>
  </si>
  <si>
    <t xml:space="preserve">Inbound (entrada)</t>
  </si>
  <si>
    <t xml:space="preserve">GRATIS</t>
  </si>
  <si>
    <t xml:space="preserve">Ilimitado</t>
  </si>
  <si>
    <t xml:space="preserve">Subir archivos sin coste</t>
  </si>
  <si>
    <t xml:space="preserve">☁️ AWS S3</t>
  </si>
  <si>
    <t xml:space="preserve">Clase de almacenamiento</t>
  </si>
  <si>
    <t xml:space="preserve">Precio/GB/mes</t>
  </si>
  <si>
    <t xml:space="preserve">Uso recomendado</t>
  </si>
  <si>
    <t xml:space="preserve">S3 Standard</t>
  </si>
  <si>
    <t xml:space="preserve">$0.023</t>
  </si>
  <si>
    <t xml:space="preserve">Acceso frecuente</t>
  </si>
  <si>
    <t xml:space="preserve">Primeros 50 TB</t>
  </si>
  <si>
    <t xml:space="preserve">S3 Standard-IA</t>
  </si>
  <si>
    <t xml:space="preserve">$0.0125</t>
  </si>
  <si>
    <t xml:space="preserve">Acceso infrecuente</t>
  </si>
  <si>
    <t xml:space="preserve">Recuperación rápida</t>
  </si>
  <si>
    <t xml:space="preserve">S3 One Zone-IA</t>
  </si>
  <si>
    <t xml:space="preserve">$0.01</t>
  </si>
  <si>
    <t xml:space="preserve">Backups secundarios</t>
  </si>
  <si>
    <t xml:space="preserve">Sin redundancia multi-zona</t>
  </si>
  <si>
    <t xml:space="preserve">S3 Glacier Instant</t>
  </si>
  <si>
    <t xml:space="preserve">$0.004</t>
  </si>
  <si>
    <t xml:space="preserve">Archivo con acceso rápido</t>
  </si>
  <si>
    <t xml:space="preserve">68% más barato que IA</t>
  </si>
  <si>
    <t xml:space="preserve">Transfer OUT</t>
  </si>
  <si>
    <t xml:space="preserve">$0.09/GB</t>
  </si>
  <si>
    <t xml:space="preserve">Descarga a internet</t>
  </si>
  <si>
    <t xml:space="preserve">Primeros 10 TB</t>
  </si>
  <si>
    <t xml:space="preserve">⭐ RECOMENDACIÓN PARA OMERIX</t>
  </si>
  <si>
    <t xml:space="preserve">Rango mensual estimado:</t>
  </si>
  <si>
    <t xml:space="preserve">Uso típico: 50-100 GB</t>
  </si>
  <si>
    <t xml:space="preserve">Para un ERP como Omerix con almacenamiento de:</t>
  </si>
  <si>
    <t xml:space="preserve">• Imágenes de albaranes/facturas</t>
  </si>
  <si>
    <t xml:space="preserve">• Backups de MongoDB</t>
  </si>
  <si>
    <t xml:space="preserve">• Archivos de clientes</t>
  </si>
  <si>
    <t xml:space="preserve">✅ RECOMENDACIÓN: DigitalOcean Spaces</t>
  </si>
  <si>
    <t xml:space="preserve">Razones:</t>
  </si>
  <si>
    <t xml:space="preserve">1. Precio fijo predecible ($5/mes incluye 250 GB)</t>
  </si>
  <si>
    <t xml:space="preserve">2. CDN integrado sin coste extra</t>
  </si>
  <si>
    <t xml:space="preserve">3. Compatible S3 (fácil migración)</t>
  </si>
  <si>
    <t xml:space="preserve">4. Transfer generoso (1 TB incluido)</t>
  </si>
  <si>
    <t xml:space="preserve">5. Simplicidad vs complejidad de precios AWS</t>
  </si>
  <si>
    <t xml:space="preserve">📊 CALCULADORA DE COSTES</t>
  </si>
  <si>
    <t xml:space="preserve">Tu escenario</t>
  </si>
  <si>
    <t xml:space="preserve">DO Spaces</t>
  </si>
  <si>
    <t xml:space="preserve">AWS S3</t>
  </si>
  <si>
    <t xml:space="preserve">GB almacenados</t>
  </si>
  <si>
    <t xml:space="preserve">GB transfer salida/mes</t>
  </si>
  <si>
    <t xml:space="preserve">TOTAL MENSUAL (€)</t>
  </si>
  <si>
    <t xml:space="preserve">MÓDULOS ADD-ON - OMERIX ERP</t>
  </si>
  <si>
    <t xml:space="preserve">🧩 MÓDULOS DISPONIBLES</t>
  </si>
  <si>
    <t xml:space="preserve">Módulo</t>
  </si>
  <si>
    <t xml:space="preserve">Precio base (€/mes)</t>
  </si>
  <si>
    <t xml:space="preserve">Precio variable</t>
  </si>
  <si>
    <t xml:space="preserve">Descripción</t>
  </si>
  <si>
    <t xml:space="preserve">TPV (Punto de Venta)</t>
  </si>
  <si>
    <t xml:space="preserve">Por cada TPV</t>
  </si>
  <si>
    <t xml:space="preserve">Terminal punto de venta táctil, tickets, arqueos</t>
  </si>
  <si>
    <t xml:space="preserve">RRHH (Recursos Humanos)</t>
  </si>
  <si>
    <t xml:space="preserve">+1€/empleado (desde 3º)</t>
  </si>
  <si>
    <t xml:space="preserve">Nóminas, fichajes, vacaciones, contratos. Incluye 2 empleados</t>
  </si>
  <si>
    <t xml:space="preserve">Servicios</t>
  </si>
  <si>
    <t xml:space="preserve">Gestión de servicios, SAT, partes de trabajo</t>
  </si>
  <si>
    <t xml:space="preserve">Producción</t>
  </si>
  <si>
    <t xml:space="preserve">Órdenes fabricación, escandallos, control planta</t>
  </si>
  <si>
    <t xml:space="preserve">IA Documentos</t>
  </si>
  <si>
    <t xml:space="preserve">0.15-0.30€/doc</t>
  </si>
  <si>
    <t xml:space="preserve">OCR inteligente albaranes, facturas, pedidos</t>
  </si>
  <si>
    <t xml:space="preserve">Usuarios adicionales</t>
  </si>
  <si>
    <t xml:space="preserve">Por usuario</t>
  </si>
  <si>
    <t xml:space="preserve">Usuarios extra sobre los incluidos en plan</t>
  </si>
  <si>
    <t xml:space="preserve">Multi-empresa</t>
  </si>
  <si>
    <t xml:space="preserve">Por empresa extra</t>
  </si>
  <si>
    <t xml:space="preserve">Gestión de empresas adicionales</t>
  </si>
  <si>
    <t xml:space="preserve">API Avanzada</t>
  </si>
  <si>
    <t xml:space="preserve">Acceso API REST completo, webhooks, integraciones</t>
  </si>
  <si>
    <t xml:space="preserve">Backup Premium</t>
  </si>
  <si>
    <t xml:space="preserve">Backups cada hora, retención 90 días, restore prioritario</t>
  </si>
  <si>
    <t xml:space="preserve">Soporte Prioritario</t>
  </si>
  <si>
    <t xml:space="preserve">Respuesta &lt;4h, teléfono directo, formación</t>
  </si>
  <si>
    <t xml:space="preserve">📋 ESTADO DE DESARROLLO</t>
  </si>
  <si>
    <t xml:space="preserve">Estado</t>
  </si>
  <si>
    <t xml:space="preserve">Prioridad</t>
  </si>
  <si>
    <t xml:space="preserve">Core ERP (Ventas, Compras, Stock)</t>
  </si>
  <si>
    <t xml:space="preserve">✅ Implementado</t>
  </si>
  <si>
    <t xml:space="preserve">Alta</t>
  </si>
  <si>
    <t xml:space="preserve">Funcionalidad base</t>
  </si>
  <si>
    <t xml:space="preserve">API Claude integrada</t>
  </si>
  <si>
    <t xml:space="preserve">🔄 En desarrollo</t>
  </si>
  <si>
    <t xml:space="preserve">Próxima versión</t>
  </si>
  <si>
    <t xml:space="preserve">RRHH</t>
  </si>
  <si>
    <t xml:space="preserve">📋 Planificado</t>
  </si>
  <si>
    <t xml:space="preserve">Media</t>
  </si>
  <si>
    <t xml:space="preserve">Q1 2025</t>
  </si>
  <si>
    <t xml:space="preserve">TPV</t>
  </si>
  <si>
    <t xml:space="preserve">Q1-Q2 2025</t>
  </si>
  <si>
    <t xml:space="preserve">Baja</t>
  </si>
  <si>
    <t xml:space="preserve">Q2 2025</t>
  </si>
  <si>
    <t xml:space="preserve">Requiere refactor</t>
  </si>
  <si>
    <t xml:space="preserve">🧮 SIMULADOR DE CLIENTE</t>
  </si>
  <si>
    <t xml:space="preserve">Cantidad</t>
  </si>
  <si>
    <t xml:space="preserve">Precio unit.</t>
  </si>
  <si>
    <t xml:space="preserve">Subtotal</t>
  </si>
  <si>
    <t xml:space="preserve">Plan base (Profesional)</t>
  </si>
  <si>
    <t xml:space="preserve">TPV adicionales</t>
  </si>
  <si>
    <t xml:space="preserve">Módulo RRHH</t>
  </si>
  <si>
    <t xml:space="preserve">Empleados extra RRHH (sobre 2)</t>
  </si>
  <si>
    <t xml:space="preserve">Módulo Servicios</t>
  </si>
  <si>
    <t xml:space="preserve">Módulo Producción</t>
  </si>
  <si>
    <t xml:space="preserve">Docs IA procesados/mes</t>
  </si>
  <si>
    <t xml:space="preserve">TOTAL MENSUAL CLIENTE</t>
  </si>
  <si>
    <t xml:space="preserve">TOTAL ANUAL</t>
  </si>
  <si>
    <t xml:space="preserve">💰 ANÁLISIS DE MARGEN</t>
  </si>
  <si>
    <t xml:space="preserve">Tu coste infraestructura (estimado):</t>
  </si>
  <si>
    <t xml:space="preserve">€/mes</t>
  </si>
  <si>
    <t xml:space="preserve">Coste IA (docs procesados):</t>
  </si>
  <si>
    <t xml:space="preserve">Total costes:</t>
  </si>
  <si>
    <t xml:space="preserve">Ingreso cliente:</t>
  </si>
  <si>
    <t xml:space="preserve">MARGEN BRUTO:</t>
  </si>
  <si>
    <t xml:space="preserve">Margen %:</t>
  </si>
  <si>
    <t xml:space="preserve">📊 SIMULADOR ROI - OMERIX ERP</t>
  </si>
  <si>
    <t xml:space="preserve">📋 PRECIOS DE REFERENCIA</t>
  </si>
  <si>
    <t xml:space="preserve">🧩 ADD-ONS</t>
  </si>
  <si>
    <t xml:space="preserve">Usuarios incl.</t>
  </si>
  <si>
    <t xml:space="preserve">Add-on</t>
  </si>
  <si>
    <t xml:space="preserve">1-Starter</t>
  </si>
  <si>
    <t xml:space="preserve">2-Profesional</t>
  </si>
  <si>
    <t xml:space="preserve">3-Business</t>
  </si>
  <si>
    <t xml:space="preserve">RRHH/empl</t>
  </si>
  <si>
    <t xml:space="preserve">4-Enterprise</t>
  </si>
  <si>
    <t xml:space="preserve">Usuario+</t>
  </si>
  <si>
    <t xml:space="preserve">Multi-emp</t>
  </si>
  <si>
    <t xml:space="preserve">API</t>
  </si>
  <si>
    <t xml:space="preserve">Backup+</t>
  </si>
  <si>
    <t xml:space="preserve">Soporte+</t>
  </si>
  <si>
    <t xml:space="preserve">👥 CARTERA DE CLIENTES</t>
  </si>
  <si>
    <t xml:space="preserve">#</t>
  </si>
  <si>
    <t xml:space="preserve">Cliente</t>
  </si>
  <si>
    <t xml:space="preserve">Plan (1-4)</t>
  </si>
  <si>
    <t xml:space="preserve">TPVs</t>
  </si>
  <si>
    <t xml:space="preserve">Empl+</t>
  </si>
  <si>
    <t xml:space="preserve">Serv</t>
  </si>
  <si>
    <t xml:space="preserve">Prod</t>
  </si>
  <si>
    <t xml:space="preserve">Usr+</t>
  </si>
  <si>
    <t xml:space="preserve">Docs IA</t>
  </si>
  <si>
    <t xml:space="preserve">TOTAL €</t>
  </si>
  <si>
    <t xml:space="preserve">Cliente 1</t>
  </si>
  <si>
    <t xml:space="preserve">Cliente 2</t>
  </si>
  <si>
    <t xml:space="preserve">Cliente 3</t>
  </si>
  <si>
    <t xml:space="preserve">TOTAL</t>
  </si>
  <si>
    <t xml:space="preserve">💰 ANÁLISIS ROI MENSUAL</t>
  </si>
  <si>
    <t xml:space="preserve">📊 ESTADÍSTICAS</t>
  </si>
  <si>
    <t xml:space="preserve">Importe €</t>
  </si>
  <si>
    <t xml:space="preserve">Clientes activos:</t>
  </si>
  <si>
    <t xml:space="preserve">Ingresos mensuales</t>
  </si>
  <si>
    <t xml:space="preserve">Suma de todos los clientes</t>
  </si>
  <si>
    <t xml:space="preserve">Ticket medio:</t>
  </si>
  <si>
    <t xml:space="preserve">Coste infraestructura</t>
  </si>
  <si>
    <t xml:space="preserve">Hosting + MongoDB + Storage</t>
  </si>
  <si>
    <t xml:space="preserve">Docs IA totales/mes:</t>
  </si>
  <si>
    <t xml:space="preserve">Coste IA (docs procesados)</t>
  </si>
  <si>
    <t xml:space="preserve">Tu coste real API Claude</t>
  </si>
  <si>
    <t xml:space="preserve">Ingreso por IA:</t>
  </si>
  <si>
    <t xml:space="preserve">Otros costes fijos</t>
  </si>
  <si>
    <t xml:space="preserve">Dominio, email, herramientas...</t>
  </si>
  <si>
    <t xml:space="preserve">Margen IA:</t>
  </si>
  <si>
    <t xml:space="preserve">TOTAL COSTES</t>
  </si>
  <si>
    <t xml:space="preserve">BENEFICIO BRUTO MENSUAL</t>
  </si>
  <si>
    <t xml:space="preserve">Clientes Starter:</t>
  </si>
  <si>
    <t xml:space="preserve">Margen bruto %</t>
  </si>
  <si>
    <t xml:space="preserve">Clientes Profesional:</t>
  </si>
  <si>
    <t xml:space="preserve">Clientes Business:</t>
  </si>
  <si>
    <t xml:space="preserve">📈 PROYECCIÓN ANUAL</t>
  </si>
  <si>
    <t xml:space="preserve">Clientes Enterprise:</t>
  </si>
  <si>
    <t xml:space="preserve">Ingresos anuales</t>
  </si>
  <si>
    <t xml:space="preserve">Costes anuales</t>
  </si>
  <si>
    <t xml:space="preserve">BENEFICIO ANUAL</t>
  </si>
  <si>
    <t xml:space="preserve">⏱️ BREAK-EVEN</t>
  </si>
  <si>
    <t xml:space="preserve">Inversión desarrollo</t>
  </si>
  <si>
    <t xml:space="preserve">€ (editable)</t>
  </si>
  <si>
    <t xml:space="preserve">Meses para recuperar</t>
  </si>
  <si>
    <t xml:space="preserve">📝 INSTRUCCIONES</t>
  </si>
  <si>
    <t xml:space="preserve">• Plan: 1=Starter, 2=Profesional, 3=Business, 4=Enterprise (0=sin cliente)</t>
  </si>
  <si>
    <t xml:space="preserve">• TPVs, RRHH, Serv, Prod, API: Pon 1 para activar, 0 para desactivar</t>
  </si>
  <si>
    <t xml:space="preserve">• Empl+: Empleados extra para RRHH (los 2 primeros están incluidos)</t>
  </si>
  <si>
    <t xml:space="preserve">• Usr+: Usuarios adicionales sobre los incluidos en el plan</t>
  </si>
  <si>
    <t xml:space="preserve">• Docs IA: Número de documentos procesados por IA al mes</t>
  </si>
  <si>
    <t xml:space="preserve">• Los valores en AZUL son editables, el resto se calcula automáticamente</t>
  </si>
  <si>
    <t xml:space="preserve">MODELO DE PRECIOS SAAS - OMERIX</t>
  </si>
  <si>
    <t xml:space="preserve">Usuarios</t>
  </si>
  <si>
    <t xml:space="preserve">Características</t>
  </si>
  <si>
    <t xml:space="preserve">Starter</t>
  </si>
  <si>
    <t xml:space="preserve">1-2</t>
  </si>
  <si>
    <t xml:space="preserve">Módulos básicos, 1 empresa</t>
  </si>
  <si>
    <t xml:space="preserve">Profesional</t>
  </si>
  <si>
    <t xml:space="preserve">3-5</t>
  </si>
  <si>
    <t xml:space="preserve">+ Informes avanzados, soporte email</t>
  </si>
  <si>
    <t xml:space="preserve">Business</t>
  </si>
  <si>
    <t xml:space="preserve">6-10</t>
  </si>
  <si>
    <t xml:space="preserve">+ Multi-empresa, API, prioridad</t>
  </si>
  <si>
    <t xml:space="preserve">Ilimitados</t>
  </si>
  <si>
    <t xml:space="preserve">+ Personalización, SLA, soporte 24/7</t>
  </si>
  <si>
    <t xml:space="preserve">💡 MÓDULO IA (Pay-per-use)</t>
  </si>
  <si>
    <t xml:space="preserve">Volumen docs/mes</t>
  </si>
  <si>
    <t xml:space="preserve">Precio/doc (€)</t>
  </si>
  <si>
    <t xml:space="preserve">Tu coste</t>
  </si>
  <si>
    <t xml:space="preserve">Tu margen</t>
  </si>
  <si>
    <t xml:space="preserve">1-50</t>
  </si>
  <si>
    <t xml:space="preserve">51-200</t>
  </si>
  <si>
    <t xml:space="preserve">201-500</t>
  </si>
  <si>
    <t xml:space="preserve">501-1000</t>
  </si>
  <si>
    <t xml:space="preserve">+1000</t>
  </si>
  <si>
    <t xml:space="preserve">📈 ANÁLISIS ROI</t>
  </si>
  <si>
    <t xml:space="preserve">Inversión desarrollo (estimada):</t>
  </si>
  <si>
    <t xml:space="preserve">€</t>
  </si>
  <si>
    <t xml:space="preserve">Clientes plan Profesional:</t>
  </si>
  <si>
    <t xml:space="preserve">Ingresos mensuales:</t>
  </si>
  <si>
    <t xml:space="preserve">Costes mensuales infra:</t>
  </si>
  <si>
    <t xml:space="preserve">Beneficio mensual:</t>
  </si>
  <si>
    <t xml:space="preserve">Meses para break-even: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</si>
</sst>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0064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9E2F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9E2F3"/>
      </patternFill>
    </fill>
    <fill>
      <patternFill patternType="solid">
        <fgColor rgb="FFFFC7CE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0" t="s">
        <v>1</v>
      </c>
      <c r="B3" s="0" t="s">
        <v>2</v>
      </c>
    </row>
    <row r="4" customFormat="false" ht="15" hidden="false" customHeight="false" outlineLevel="0" collapsed="false">
      <c r="A4" s="0" t="s">
        <v>3</v>
      </c>
      <c r="B4" s="0" t="s">
        <v>4</v>
      </c>
    </row>
    <row r="6" customFormat="false" ht="15" hidden="false" customHeight="false" outlineLevel="0" collapsed="false">
      <c r="A6" s="1" t="s">
        <v>5</v>
      </c>
      <c r="B6" s="1" t="s">
        <v>6</v>
      </c>
      <c r="C6" s="1" t="s">
        <v>7</v>
      </c>
      <c r="D6" s="1" t="s">
        <v>8</v>
      </c>
    </row>
    <row r="7" customFormat="false" ht="15" hidden="false" customHeight="false" outlineLevel="0" collapsed="false">
      <c r="A7" s="2" t="s">
        <v>9</v>
      </c>
      <c r="B7" s="2" t="n">
        <f aca="false">Hosting!B8</f>
        <v>6</v>
      </c>
      <c r="C7" s="2" t="n">
        <f aca="false">Hosting!C8</f>
        <v>15</v>
      </c>
      <c r="D7" s="2" t="s">
        <v>10</v>
      </c>
    </row>
    <row r="8" customFormat="false" ht="15" hidden="false" customHeight="false" outlineLevel="0" collapsed="false">
      <c r="A8" s="2" t="s">
        <v>11</v>
      </c>
      <c r="B8" s="2" t="n">
        <f aca="false">MongoDB!B10</f>
        <v>0</v>
      </c>
      <c r="C8" s="2" t="n">
        <f aca="false">MongoDB!C10</f>
        <v>23</v>
      </c>
      <c r="D8" s="2" t="s">
        <v>12</v>
      </c>
    </row>
    <row r="9" customFormat="false" ht="15" hidden="false" customHeight="false" outlineLevel="0" collapsed="false">
      <c r="A9" s="2" t="s">
        <v>13</v>
      </c>
      <c r="B9" s="2" t="n">
        <f aca="false">'API Claude'!E21</f>
        <v>1.794</v>
      </c>
      <c r="C9" s="2" t="n">
        <f aca="false">'API Claude'!F21</f>
        <v>3.588</v>
      </c>
      <c r="D9" s="2" t="s">
        <v>14</v>
      </c>
    </row>
    <row r="10" customFormat="false" ht="15" hidden="false" customHeight="false" outlineLevel="0" collapsed="false">
      <c r="A10" s="2" t="s">
        <v>15</v>
      </c>
      <c r="B10" s="2" t="n">
        <f aca="false">Almacenamiento!B19</f>
        <v>0</v>
      </c>
      <c r="C10" s="2" t="n">
        <f aca="false">Almacenamiento!C19</f>
        <v>10</v>
      </c>
      <c r="D10" s="2" t="s">
        <v>16</v>
      </c>
    </row>
    <row r="11" customFormat="false" ht="15" hidden="false" customHeight="false" outlineLevel="0" collapsed="false">
      <c r="A11" s="2" t="s">
        <v>17</v>
      </c>
      <c r="B11" s="2" t="n">
        <v>1</v>
      </c>
      <c r="C11" s="2" t="n">
        <v>2</v>
      </c>
      <c r="D11" s="2" t="s">
        <v>18</v>
      </c>
    </row>
    <row r="12" customFormat="false" ht="15" hidden="false" customHeight="false" outlineLevel="0" collapsed="false">
      <c r="A12" s="2" t="s">
        <v>19</v>
      </c>
      <c r="B12" s="2" t="n">
        <v>0</v>
      </c>
      <c r="C12" s="2" t="n">
        <v>5</v>
      </c>
      <c r="D12" s="2" t="s">
        <v>20</v>
      </c>
    </row>
    <row r="13" customFormat="false" ht="15" hidden="false" customHeight="false" outlineLevel="0" collapsed="false">
      <c r="A13" s="3" t="s">
        <v>21</v>
      </c>
      <c r="B13" s="4" t="n">
        <f aca="false">SUM(B7:B12)</f>
        <v>8.794</v>
      </c>
      <c r="C13" s="4" t="n">
        <f aca="false">SUM(C7:C12)</f>
        <v>58.588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5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" t="s">
        <v>22</v>
      </c>
      <c r="B1" s="1"/>
      <c r="C1" s="1"/>
      <c r="D1" s="1"/>
    </row>
    <row r="3" customFormat="false" ht="15" hidden="false" customHeight="false" outlineLevel="0" collapsed="false">
      <c r="A3" s="1" t="s">
        <v>23</v>
      </c>
      <c r="B3" s="1" t="s">
        <v>24</v>
      </c>
      <c r="C3" s="1" t="s">
        <v>25</v>
      </c>
      <c r="D3" s="1" t="s">
        <v>8</v>
      </c>
    </row>
    <row r="4" customFormat="false" ht="15" hidden="false" customHeight="false" outlineLevel="0" collapsed="false">
      <c r="A4" s="2" t="s">
        <v>26</v>
      </c>
      <c r="B4" s="5" t="n">
        <v>6</v>
      </c>
      <c r="C4" s="2" t="s">
        <v>27</v>
      </c>
      <c r="D4" s="2" t="s">
        <v>28</v>
      </c>
    </row>
    <row r="5" customFormat="false" ht="15" hidden="false" customHeight="false" outlineLevel="0" collapsed="false">
      <c r="A5" s="2" t="s">
        <v>29</v>
      </c>
      <c r="B5" s="5" t="n">
        <v>9</v>
      </c>
      <c r="C5" s="2" t="s">
        <v>30</v>
      </c>
      <c r="D5" s="2" t="s">
        <v>31</v>
      </c>
    </row>
    <row r="6" customFormat="false" ht="15" hidden="false" customHeight="false" outlineLevel="0" collapsed="false">
      <c r="A6" s="2" t="s">
        <v>32</v>
      </c>
      <c r="B6" s="5" t="n">
        <v>15</v>
      </c>
      <c r="C6" s="2" t="s">
        <v>33</v>
      </c>
      <c r="D6" s="2" t="s">
        <v>34</v>
      </c>
    </row>
    <row r="7" customFormat="false" ht="15" hidden="false" customHeight="false" outlineLevel="0" collapsed="false">
      <c r="A7" s="2" t="s">
        <v>35</v>
      </c>
      <c r="B7" s="5" t="n">
        <v>12</v>
      </c>
      <c r="C7" s="2" t="s">
        <v>36</v>
      </c>
      <c r="D7" s="2" t="s">
        <v>37</v>
      </c>
    </row>
    <row r="8" customFormat="false" ht="15" hidden="false" customHeight="false" outlineLevel="0" collapsed="false">
      <c r="A8" s="6" t="s">
        <v>38</v>
      </c>
      <c r="B8" s="5" t="n">
        <f aca="false">MIN(B4:B7)</f>
        <v>6</v>
      </c>
      <c r="C8" s="2" t="n">
        <f aca="false">MAX(B4:B7)</f>
        <v>15</v>
      </c>
      <c r="D8" s="2" t="s">
        <v>39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3" min="2" style="0" width="15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" t="s">
        <v>40</v>
      </c>
      <c r="B1" s="1"/>
      <c r="C1" s="1"/>
      <c r="D1" s="1"/>
    </row>
    <row r="3" customFormat="false" ht="15" hidden="false" customHeight="false" outlineLevel="0" collapsed="false">
      <c r="A3" s="1" t="s">
        <v>41</v>
      </c>
      <c r="B3" s="1" t="s">
        <v>24</v>
      </c>
      <c r="C3" s="1" t="s">
        <v>42</v>
      </c>
      <c r="D3" s="1" t="s">
        <v>8</v>
      </c>
    </row>
    <row r="4" customFormat="false" ht="15" hidden="false" customHeight="false" outlineLevel="0" collapsed="false">
      <c r="A4" s="2" t="s">
        <v>43</v>
      </c>
      <c r="B4" s="5" t="n">
        <v>0</v>
      </c>
      <c r="C4" s="2" t="s">
        <v>44</v>
      </c>
      <c r="D4" s="2" t="s">
        <v>45</v>
      </c>
    </row>
    <row r="5" customFormat="false" ht="15" hidden="false" customHeight="false" outlineLevel="0" collapsed="false">
      <c r="A5" s="2" t="s">
        <v>46</v>
      </c>
      <c r="B5" s="5" t="n">
        <v>9</v>
      </c>
      <c r="C5" s="2" t="s">
        <v>47</v>
      </c>
      <c r="D5" s="2" t="s">
        <v>48</v>
      </c>
    </row>
    <row r="6" customFormat="false" ht="15" hidden="false" customHeight="false" outlineLevel="0" collapsed="false">
      <c r="A6" s="2" t="s">
        <v>49</v>
      </c>
      <c r="B6" s="5" t="n">
        <v>23</v>
      </c>
      <c r="C6" s="2" t="s">
        <v>50</v>
      </c>
      <c r="D6" s="2" t="s">
        <v>51</v>
      </c>
    </row>
    <row r="7" customFormat="false" ht="15" hidden="false" customHeight="false" outlineLevel="0" collapsed="false">
      <c r="A7" s="2" t="s">
        <v>52</v>
      </c>
      <c r="B7" s="5" t="n">
        <v>50</v>
      </c>
      <c r="C7" s="2" t="s">
        <v>53</v>
      </c>
      <c r="D7" s="2" t="s">
        <v>54</v>
      </c>
    </row>
    <row r="8" customFormat="false" ht="15" hidden="false" customHeight="false" outlineLevel="0" collapsed="false">
      <c r="A8" s="2" t="s">
        <v>55</v>
      </c>
      <c r="B8" s="5" t="n">
        <v>140</v>
      </c>
      <c r="C8" s="2" t="s">
        <v>56</v>
      </c>
      <c r="D8" s="2" t="s">
        <v>57</v>
      </c>
    </row>
    <row r="10" customFormat="false" ht="15" hidden="false" customHeight="false" outlineLevel="0" collapsed="false">
      <c r="A10" s="7" t="s">
        <v>58</v>
      </c>
      <c r="B10" s="0" t="n">
        <v>0</v>
      </c>
      <c r="C10" s="0" t="n">
        <v>23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6" min="4" style="0" width="15"/>
  </cols>
  <sheetData>
    <row r="1" customFormat="false" ht="15" hidden="false" customHeight="false" outlineLevel="0" collapsed="false">
      <c r="A1" s="1" t="s">
        <v>59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0" t="s">
        <v>60</v>
      </c>
    </row>
    <row r="4" customFormat="false" ht="15" hidden="false" customHeight="false" outlineLevel="0" collapsed="false">
      <c r="A4" s="0" t="s">
        <v>61</v>
      </c>
    </row>
    <row r="5" customFormat="false" ht="15" hidden="false" customHeight="false" outlineLevel="0" collapsed="false">
      <c r="A5" s="0" t="s">
        <v>62</v>
      </c>
    </row>
    <row r="6" customFormat="false" ht="15" hidden="false" customHeight="false" outlineLevel="0" collapsed="false">
      <c r="A6" s="0" t="s">
        <v>63</v>
      </c>
    </row>
    <row r="8" customFormat="false" ht="15" hidden="false" customHeight="false" outlineLevel="0" collapsed="false">
      <c r="A8" s="1" t="s">
        <v>64</v>
      </c>
      <c r="B8" s="1" t="s">
        <v>65</v>
      </c>
      <c r="C8" s="1" t="s">
        <v>66</v>
      </c>
    </row>
    <row r="9" customFormat="false" ht="15" hidden="false" customHeight="false" outlineLevel="0" collapsed="false">
      <c r="A9" s="0" t="s">
        <v>67</v>
      </c>
      <c r="B9" s="5" t="n">
        <v>2500</v>
      </c>
      <c r="C9" s="8" t="s">
        <v>68</v>
      </c>
    </row>
    <row r="10" customFormat="false" ht="15" hidden="false" customHeight="false" outlineLevel="0" collapsed="false">
      <c r="A10" s="0" t="s">
        <v>69</v>
      </c>
      <c r="B10" s="5" t="n">
        <v>800</v>
      </c>
      <c r="C10" s="8" t="s">
        <v>68</v>
      </c>
    </row>
    <row r="11" customFormat="false" ht="15" hidden="false" customHeight="false" outlineLevel="0" collapsed="false">
      <c r="A11" s="0" t="s">
        <v>70</v>
      </c>
      <c r="B11" s="5" t="n">
        <v>0.92</v>
      </c>
    </row>
    <row r="13" customFormat="false" ht="15" hidden="false" customHeight="false" outlineLevel="0" collapsed="false">
      <c r="A13" s="0" t="s">
        <v>71</v>
      </c>
      <c r="B13" s="9" t="n">
        <f aca="false">((B9/1000000)*3 + (B10/1000000)*15)*B11</f>
        <v>0.01794</v>
      </c>
    </row>
    <row r="15" customFormat="false" ht="15" hidden="false" customHeight="false" outlineLevel="0" collapsed="false">
      <c r="A15" s="1" t="s">
        <v>72</v>
      </c>
      <c r="B15" s="1" t="s">
        <v>73</v>
      </c>
      <c r="C15" s="1" t="s">
        <v>74</v>
      </c>
      <c r="D15" s="1" t="s">
        <v>75</v>
      </c>
      <c r="E15" s="1" t="s">
        <v>76</v>
      </c>
      <c r="F15" s="1" t="s">
        <v>77</v>
      </c>
    </row>
    <row r="16" customFormat="false" ht="15" hidden="false" customHeight="false" outlineLevel="0" collapsed="false">
      <c r="A16" s="2" t="s">
        <v>78</v>
      </c>
      <c r="B16" s="5" t="n">
        <v>50</v>
      </c>
      <c r="C16" s="8" t="n">
        <f aca="false">B16*$B$13</f>
        <v>0.897</v>
      </c>
      <c r="D16" s="8" t="n">
        <f aca="false">C16*0.5</f>
        <v>0.4485</v>
      </c>
      <c r="E16" s="8" t="n">
        <f aca="false">D16</f>
        <v>0.4485</v>
      </c>
      <c r="F16" s="8" t="n">
        <f aca="false">C16</f>
        <v>0.897</v>
      </c>
    </row>
    <row r="17" customFormat="false" ht="15" hidden="false" customHeight="false" outlineLevel="0" collapsed="false">
      <c r="A17" s="2" t="s">
        <v>79</v>
      </c>
      <c r="B17" s="5" t="n">
        <v>200</v>
      </c>
      <c r="C17" s="8" t="n">
        <f aca="false">B17*$B$13</f>
        <v>3.588</v>
      </c>
      <c r="D17" s="8" t="n">
        <f aca="false">C17*0.5</f>
        <v>1.794</v>
      </c>
      <c r="E17" s="8" t="n">
        <f aca="false">D17</f>
        <v>1.794</v>
      </c>
      <c r="F17" s="8" t="n">
        <f aca="false">C17</f>
        <v>3.588</v>
      </c>
    </row>
    <row r="18" customFormat="false" ht="15" hidden="false" customHeight="false" outlineLevel="0" collapsed="false">
      <c r="A18" s="2" t="s">
        <v>80</v>
      </c>
      <c r="B18" s="5" t="n">
        <v>500</v>
      </c>
      <c r="C18" s="8" t="n">
        <f aca="false">B18*$B$13</f>
        <v>8.97</v>
      </c>
      <c r="D18" s="8" t="n">
        <f aca="false">C18*0.5</f>
        <v>4.485</v>
      </c>
      <c r="E18" s="8" t="n">
        <f aca="false">D18</f>
        <v>4.485</v>
      </c>
      <c r="F18" s="8" t="n">
        <f aca="false">C18</f>
        <v>8.97</v>
      </c>
    </row>
    <row r="19" customFormat="false" ht="15" hidden="false" customHeight="false" outlineLevel="0" collapsed="false">
      <c r="A19" s="2" t="s">
        <v>81</v>
      </c>
      <c r="B19" s="5" t="n">
        <v>1000</v>
      </c>
      <c r="C19" s="8" t="n">
        <f aca="false">B19*$B$13</f>
        <v>17.94</v>
      </c>
      <c r="D19" s="8" t="n">
        <f aca="false">C19*0.5</f>
        <v>8.97</v>
      </c>
      <c r="E19" s="8" t="n">
        <f aca="false">D19</f>
        <v>8.97</v>
      </c>
      <c r="F19" s="8" t="n">
        <f aca="false">C19</f>
        <v>17.94</v>
      </c>
    </row>
    <row r="20" customFormat="false" ht="15" hidden="false" customHeight="false" outlineLevel="0" collapsed="false">
      <c r="A20" s="2" t="s">
        <v>82</v>
      </c>
      <c r="B20" s="5" t="n">
        <v>3000</v>
      </c>
      <c r="C20" s="8" t="n">
        <f aca="false">B20*$B$13</f>
        <v>53.82</v>
      </c>
      <c r="D20" s="8" t="n">
        <f aca="false">C20*0.5</f>
        <v>26.91</v>
      </c>
      <c r="E20" s="8" t="n">
        <f aca="false">D20</f>
        <v>26.91</v>
      </c>
      <c r="F20" s="8" t="n">
        <f aca="false">C20</f>
        <v>53.82</v>
      </c>
    </row>
    <row r="21" customFormat="false" ht="15" hidden="false" customHeight="false" outlineLevel="0" collapsed="false">
      <c r="A21" s="7" t="s">
        <v>83</v>
      </c>
      <c r="E21" s="8" t="n">
        <f aca="false">E17</f>
        <v>1.794</v>
      </c>
      <c r="F21" s="8" t="n">
        <f aca="false">F17</f>
        <v>3.588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3" min="2" style="0" width="18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" t="s">
        <v>84</v>
      </c>
      <c r="B1" s="1"/>
      <c r="C1" s="1"/>
      <c r="D1" s="1"/>
    </row>
    <row r="3" customFormat="false" ht="15" hidden="false" customHeight="false" outlineLevel="0" collapsed="false">
      <c r="A3" s="10" t="s">
        <v>85</v>
      </c>
    </row>
    <row r="4" customFormat="false" ht="15" hidden="false" customHeight="false" outlineLevel="0" collapsed="false">
      <c r="A4" s="1" t="s">
        <v>5</v>
      </c>
      <c r="B4" s="1" t="s">
        <v>86</v>
      </c>
      <c r="C4" s="1" t="s">
        <v>87</v>
      </c>
      <c r="D4" s="1" t="s">
        <v>8</v>
      </c>
    </row>
    <row r="5" customFormat="false" ht="15" hidden="false" customHeight="false" outlineLevel="0" collapsed="false">
      <c r="A5" s="2" t="s">
        <v>88</v>
      </c>
      <c r="B5" s="2" t="s">
        <v>89</v>
      </c>
      <c r="C5" s="2" t="s">
        <v>90</v>
      </c>
      <c r="D5" s="2" t="s">
        <v>91</v>
      </c>
    </row>
    <row r="6" customFormat="false" ht="15" hidden="false" customHeight="false" outlineLevel="0" collapsed="false">
      <c r="A6" s="2" t="s">
        <v>92</v>
      </c>
      <c r="B6" s="2" t="s">
        <v>93</v>
      </c>
      <c r="C6" s="2" t="s">
        <v>94</v>
      </c>
      <c r="D6" s="2" t="s">
        <v>95</v>
      </c>
    </row>
    <row r="7" customFormat="false" ht="15" hidden="false" customHeight="false" outlineLevel="0" collapsed="false">
      <c r="A7" s="2" t="s">
        <v>96</v>
      </c>
      <c r="B7" s="2" t="s">
        <v>97</v>
      </c>
      <c r="C7" s="2" t="s">
        <v>94</v>
      </c>
      <c r="D7" s="2" t="s">
        <v>98</v>
      </c>
    </row>
    <row r="8" customFormat="false" ht="15" hidden="false" customHeight="false" outlineLevel="0" collapsed="false">
      <c r="A8" s="2" t="s">
        <v>99</v>
      </c>
      <c r="B8" s="2" t="s">
        <v>100</v>
      </c>
      <c r="C8" s="2" t="s">
        <v>101</v>
      </c>
      <c r="D8" s="2" t="s">
        <v>102</v>
      </c>
    </row>
    <row r="10" customFormat="false" ht="15" hidden="false" customHeight="false" outlineLevel="0" collapsed="false">
      <c r="A10" s="10" t="s">
        <v>103</v>
      </c>
    </row>
    <row r="11" customFormat="false" ht="15" hidden="false" customHeight="false" outlineLevel="0" collapsed="false">
      <c r="A11" s="1" t="s">
        <v>104</v>
      </c>
      <c r="B11" s="1" t="s">
        <v>105</v>
      </c>
      <c r="C11" s="1" t="s">
        <v>106</v>
      </c>
      <c r="D11" s="1" t="s">
        <v>8</v>
      </c>
    </row>
    <row r="12" customFormat="false" ht="15" hidden="false" customHeight="false" outlineLevel="0" collapsed="false">
      <c r="A12" s="2" t="s">
        <v>107</v>
      </c>
      <c r="B12" s="2" t="s">
        <v>108</v>
      </c>
      <c r="C12" s="2" t="s">
        <v>109</v>
      </c>
      <c r="D12" s="2" t="s">
        <v>110</v>
      </c>
    </row>
    <row r="13" customFormat="false" ht="15" hidden="false" customHeight="false" outlineLevel="0" collapsed="false">
      <c r="A13" s="2" t="s">
        <v>111</v>
      </c>
      <c r="B13" s="2" t="s">
        <v>112</v>
      </c>
      <c r="C13" s="2" t="s">
        <v>113</v>
      </c>
      <c r="D13" s="2" t="s">
        <v>114</v>
      </c>
    </row>
    <row r="14" customFormat="false" ht="15" hidden="false" customHeight="false" outlineLevel="0" collapsed="false">
      <c r="A14" s="2" t="s">
        <v>115</v>
      </c>
      <c r="B14" s="2" t="s">
        <v>116</v>
      </c>
      <c r="C14" s="2" t="s">
        <v>117</v>
      </c>
      <c r="D14" s="2" t="s">
        <v>118</v>
      </c>
    </row>
    <row r="15" customFormat="false" ht="15" hidden="false" customHeight="false" outlineLevel="0" collapsed="false">
      <c r="A15" s="2" t="s">
        <v>119</v>
      </c>
      <c r="B15" s="2" t="s">
        <v>120</v>
      </c>
      <c r="C15" s="2" t="s">
        <v>121</v>
      </c>
      <c r="D15" s="2" t="s">
        <v>122</v>
      </c>
    </row>
    <row r="16" customFormat="false" ht="15" hidden="false" customHeight="false" outlineLevel="0" collapsed="false">
      <c r="A16" s="2" t="s">
        <v>123</v>
      </c>
      <c r="B16" s="2" t="s">
        <v>124</v>
      </c>
      <c r="C16" s="2" t="s">
        <v>125</v>
      </c>
      <c r="D16" s="2" t="s">
        <v>126</v>
      </c>
    </row>
    <row r="18" customFormat="false" ht="15" hidden="false" customHeight="false" outlineLevel="0" collapsed="false">
      <c r="A18" s="11" t="s">
        <v>127</v>
      </c>
    </row>
    <row r="19" customFormat="false" ht="15" hidden="false" customHeight="false" outlineLevel="0" collapsed="false">
      <c r="A19" s="7" t="s">
        <v>128</v>
      </c>
      <c r="B19" s="5" t="n">
        <v>0</v>
      </c>
      <c r="C19" s="5" t="n">
        <v>10</v>
      </c>
      <c r="D19" s="8" t="s">
        <v>129</v>
      </c>
    </row>
    <row r="21" customFormat="false" ht="15" hidden="false" customHeight="false" outlineLevel="0" collapsed="false">
      <c r="A21" s="0" t="s">
        <v>130</v>
      </c>
    </row>
    <row r="22" customFormat="false" ht="15" hidden="false" customHeight="false" outlineLevel="0" collapsed="false">
      <c r="A22" s="0" t="s">
        <v>131</v>
      </c>
    </row>
    <row r="23" customFormat="false" ht="15" hidden="false" customHeight="false" outlineLevel="0" collapsed="false">
      <c r="A23" s="0" t="s">
        <v>132</v>
      </c>
    </row>
    <row r="24" customFormat="false" ht="15" hidden="false" customHeight="false" outlineLevel="0" collapsed="false">
      <c r="A24" s="0" t="s">
        <v>133</v>
      </c>
    </row>
    <row r="26" customFormat="false" ht="15" hidden="false" customHeight="false" outlineLevel="0" collapsed="false">
      <c r="A26" s="12" t="s">
        <v>134</v>
      </c>
    </row>
    <row r="27" customFormat="false" ht="15" hidden="false" customHeight="false" outlineLevel="0" collapsed="false">
      <c r="A27" s="0" t="s">
        <v>135</v>
      </c>
    </row>
    <row r="28" customFormat="false" ht="15" hidden="false" customHeight="false" outlineLevel="0" collapsed="false">
      <c r="A28" s="0" t="s">
        <v>136</v>
      </c>
    </row>
    <row r="29" customFormat="false" ht="15" hidden="false" customHeight="false" outlineLevel="0" collapsed="false">
      <c r="A29" s="0" t="s">
        <v>137</v>
      </c>
    </row>
    <row r="30" customFormat="false" ht="15" hidden="false" customHeight="false" outlineLevel="0" collapsed="false">
      <c r="A30" s="0" t="s">
        <v>138</v>
      </c>
    </row>
    <row r="31" customFormat="false" ht="15" hidden="false" customHeight="false" outlineLevel="0" collapsed="false">
      <c r="A31" s="0" t="s">
        <v>139</v>
      </c>
    </row>
    <row r="32" customFormat="false" ht="15" hidden="false" customHeight="false" outlineLevel="0" collapsed="false">
      <c r="A32" s="0" t="s">
        <v>140</v>
      </c>
    </row>
    <row r="34" customFormat="false" ht="15" hidden="false" customHeight="false" outlineLevel="0" collapsed="false">
      <c r="A34" s="7" t="s">
        <v>141</v>
      </c>
    </row>
    <row r="35" customFormat="false" ht="15" hidden="false" customHeight="false" outlineLevel="0" collapsed="false">
      <c r="A35" s="1" t="s">
        <v>142</v>
      </c>
      <c r="B35" s="1" t="s">
        <v>65</v>
      </c>
      <c r="C35" s="1" t="s">
        <v>143</v>
      </c>
      <c r="D35" s="1" t="s">
        <v>144</v>
      </c>
    </row>
    <row r="36" customFormat="false" ht="15" hidden="false" customHeight="false" outlineLevel="0" collapsed="false">
      <c r="A36" s="0" t="s">
        <v>145</v>
      </c>
      <c r="B36" s="5" t="n">
        <v>100</v>
      </c>
      <c r="C36" s="8" t="n">
        <f aca="false">IF(B36&lt;=250,5,5+(B36-250)*0.02)</f>
        <v>5</v>
      </c>
      <c r="D36" s="8" t="n">
        <f aca="false">B36*0.023</f>
        <v>2.3</v>
      </c>
    </row>
    <row r="37" customFormat="false" ht="15" hidden="false" customHeight="false" outlineLevel="0" collapsed="false">
      <c r="A37" s="0" t="s">
        <v>146</v>
      </c>
      <c r="B37" s="5" t="n">
        <v>50</v>
      </c>
      <c r="C37" s="8" t="n">
        <f aca="false">IF(B37&lt;=1024,0,(B37-1024)*0.01)</f>
        <v>0</v>
      </c>
      <c r="D37" s="8" t="n">
        <f aca="false">B37*0.09</f>
        <v>4.5</v>
      </c>
    </row>
    <row r="38" customFormat="false" ht="15" hidden="false" customHeight="false" outlineLevel="0" collapsed="false">
      <c r="A38" s="7" t="s">
        <v>147</v>
      </c>
      <c r="C38" s="4" t="n">
        <f aca="false">(C36+C37)*0.92</f>
        <v>4.6</v>
      </c>
      <c r="D38" s="4" t="n">
        <f aca="false">(D36+D37)*0.92</f>
        <v>6.256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45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" t="s">
        <v>148</v>
      </c>
      <c r="B1" s="1"/>
      <c r="C1" s="1"/>
      <c r="D1" s="1"/>
    </row>
    <row r="3" customFormat="false" ht="15" hidden="false" customHeight="false" outlineLevel="0" collapsed="false">
      <c r="A3" s="10" t="s">
        <v>149</v>
      </c>
    </row>
    <row r="4" customFormat="false" ht="15" hidden="false" customHeight="false" outlineLevel="0" collapsed="false">
      <c r="A4" s="1" t="s">
        <v>150</v>
      </c>
      <c r="B4" s="1" t="s">
        <v>151</v>
      </c>
      <c r="C4" s="1" t="s">
        <v>152</v>
      </c>
      <c r="D4" s="1" t="s">
        <v>153</v>
      </c>
    </row>
    <row r="5" customFormat="false" ht="15" hidden="false" customHeight="false" outlineLevel="0" collapsed="false">
      <c r="A5" s="2" t="s">
        <v>154</v>
      </c>
      <c r="B5" s="5" t="n">
        <v>27</v>
      </c>
      <c r="C5" s="2" t="s">
        <v>155</v>
      </c>
      <c r="D5" s="2" t="s">
        <v>156</v>
      </c>
    </row>
    <row r="6" customFormat="false" ht="15" hidden="false" customHeight="false" outlineLevel="0" collapsed="false">
      <c r="A6" s="2" t="s">
        <v>157</v>
      </c>
      <c r="B6" s="5" t="n">
        <v>15</v>
      </c>
      <c r="C6" s="2" t="s">
        <v>158</v>
      </c>
      <c r="D6" s="2" t="s">
        <v>159</v>
      </c>
    </row>
    <row r="7" customFormat="false" ht="15" hidden="false" customHeight="false" outlineLevel="0" collapsed="false">
      <c r="A7" s="2" t="s">
        <v>160</v>
      </c>
      <c r="B7" s="5" t="n">
        <v>12</v>
      </c>
      <c r="C7" s="2" t="s">
        <v>94</v>
      </c>
      <c r="D7" s="2" t="s">
        <v>161</v>
      </c>
    </row>
    <row r="8" customFormat="false" ht="15" hidden="false" customHeight="false" outlineLevel="0" collapsed="false">
      <c r="A8" s="2" t="s">
        <v>162</v>
      </c>
      <c r="B8" s="5" t="n">
        <v>25</v>
      </c>
      <c r="C8" s="2" t="s">
        <v>94</v>
      </c>
      <c r="D8" s="2" t="s">
        <v>163</v>
      </c>
    </row>
    <row r="9" customFormat="false" ht="15" hidden="false" customHeight="false" outlineLevel="0" collapsed="false">
      <c r="A9" s="2" t="s">
        <v>164</v>
      </c>
      <c r="B9" s="5" t="n">
        <v>0</v>
      </c>
      <c r="C9" s="2" t="s">
        <v>165</v>
      </c>
      <c r="D9" s="2" t="s">
        <v>166</v>
      </c>
    </row>
    <row r="10" customFormat="false" ht="15" hidden="false" customHeight="false" outlineLevel="0" collapsed="false">
      <c r="A10" s="2" t="s">
        <v>167</v>
      </c>
      <c r="B10" s="5" t="n">
        <v>5</v>
      </c>
      <c r="C10" s="2" t="s">
        <v>168</v>
      </c>
      <c r="D10" s="2" t="s">
        <v>169</v>
      </c>
    </row>
    <row r="11" customFormat="false" ht="15" hidden="false" customHeight="false" outlineLevel="0" collapsed="false">
      <c r="A11" s="2" t="s">
        <v>170</v>
      </c>
      <c r="B11" s="5" t="n">
        <v>10</v>
      </c>
      <c r="C11" s="2" t="s">
        <v>171</v>
      </c>
      <c r="D11" s="2" t="s">
        <v>172</v>
      </c>
    </row>
    <row r="12" customFormat="false" ht="15" hidden="false" customHeight="false" outlineLevel="0" collapsed="false">
      <c r="A12" s="2" t="s">
        <v>173</v>
      </c>
      <c r="B12" s="5" t="n">
        <v>20</v>
      </c>
      <c r="C12" s="2" t="s">
        <v>94</v>
      </c>
      <c r="D12" s="2" t="s">
        <v>174</v>
      </c>
    </row>
    <row r="13" customFormat="false" ht="15" hidden="false" customHeight="false" outlineLevel="0" collapsed="false">
      <c r="A13" s="2" t="s">
        <v>175</v>
      </c>
      <c r="B13" s="5" t="n">
        <v>8</v>
      </c>
      <c r="C13" s="2" t="s">
        <v>94</v>
      </c>
      <c r="D13" s="2" t="s">
        <v>176</v>
      </c>
    </row>
    <row r="14" customFormat="false" ht="15" hidden="false" customHeight="false" outlineLevel="0" collapsed="false">
      <c r="A14" s="2" t="s">
        <v>177</v>
      </c>
      <c r="B14" s="5" t="n">
        <v>15</v>
      </c>
      <c r="C14" s="2" t="s">
        <v>94</v>
      </c>
      <c r="D14" s="2" t="s">
        <v>178</v>
      </c>
    </row>
    <row r="16" customFormat="false" ht="15" hidden="false" customHeight="false" outlineLevel="0" collapsed="false">
      <c r="A16" s="7" t="s">
        <v>179</v>
      </c>
    </row>
    <row r="17" customFormat="false" ht="15" hidden="false" customHeight="false" outlineLevel="0" collapsed="false">
      <c r="A17" s="1" t="s">
        <v>150</v>
      </c>
      <c r="B17" s="1" t="s">
        <v>180</v>
      </c>
      <c r="C17" s="1" t="s">
        <v>181</v>
      </c>
      <c r="D17" s="1" t="s">
        <v>8</v>
      </c>
    </row>
    <row r="18" customFormat="false" ht="15" hidden="false" customHeight="false" outlineLevel="0" collapsed="false">
      <c r="A18" s="2" t="s">
        <v>182</v>
      </c>
      <c r="B18" s="2" t="s">
        <v>183</v>
      </c>
      <c r="C18" s="2" t="s">
        <v>184</v>
      </c>
      <c r="D18" s="2" t="s">
        <v>185</v>
      </c>
    </row>
    <row r="19" customFormat="false" ht="15" hidden="false" customHeight="false" outlineLevel="0" collapsed="false">
      <c r="A19" s="2" t="s">
        <v>164</v>
      </c>
      <c r="B19" s="2" t="s">
        <v>183</v>
      </c>
      <c r="C19" s="2" t="s">
        <v>184</v>
      </c>
      <c r="D19" s="2" t="s">
        <v>186</v>
      </c>
    </row>
    <row r="20" customFormat="false" ht="15" hidden="false" customHeight="false" outlineLevel="0" collapsed="false">
      <c r="A20" s="2" t="s">
        <v>160</v>
      </c>
      <c r="B20" s="2" t="s">
        <v>187</v>
      </c>
      <c r="C20" s="2" t="s">
        <v>184</v>
      </c>
      <c r="D20" s="2" t="s">
        <v>188</v>
      </c>
    </row>
    <row r="21" customFormat="false" ht="15" hidden="false" customHeight="false" outlineLevel="0" collapsed="false">
      <c r="A21" s="2" t="s">
        <v>189</v>
      </c>
      <c r="B21" s="2" t="s">
        <v>190</v>
      </c>
      <c r="C21" s="2" t="s">
        <v>191</v>
      </c>
      <c r="D21" s="2" t="s">
        <v>192</v>
      </c>
    </row>
    <row r="22" customFormat="false" ht="15" hidden="false" customHeight="false" outlineLevel="0" collapsed="false">
      <c r="A22" s="2" t="s">
        <v>193</v>
      </c>
      <c r="B22" s="2" t="s">
        <v>190</v>
      </c>
      <c r="C22" s="2" t="s">
        <v>191</v>
      </c>
      <c r="D22" s="2" t="s">
        <v>194</v>
      </c>
    </row>
    <row r="23" customFormat="false" ht="15" hidden="false" customHeight="false" outlineLevel="0" collapsed="false">
      <c r="A23" s="2" t="s">
        <v>162</v>
      </c>
      <c r="B23" s="2" t="s">
        <v>190</v>
      </c>
      <c r="C23" s="2" t="s">
        <v>195</v>
      </c>
      <c r="D23" s="2" t="s">
        <v>196</v>
      </c>
    </row>
    <row r="24" customFormat="false" ht="15" hidden="false" customHeight="false" outlineLevel="0" collapsed="false">
      <c r="A24" s="2" t="s">
        <v>170</v>
      </c>
      <c r="B24" s="2" t="s">
        <v>190</v>
      </c>
      <c r="C24" s="2" t="s">
        <v>191</v>
      </c>
      <c r="D24" s="2" t="s">
        <v>197</v>
      </c>
    </row>
    <row r="27" customFormat="false" ht="15" hidden="false" customHeight="false" outlineLevel="0" collapsed="false">
      <c r="A27" s="11" t="s">
        <v>198</v>
      </c>
    </row>
    <row r="28" customFormat="false" ht="15" hidden="false" customHeight="false" outlineLevel="0" collapsed="false">
      <c r="A28" s="1" t="s">
        <v>5</v>
      </c>
      <c r="B28" s="1" t="s">
        <v>199</v>
      </c>
      <c r="C28" s="1" t="s">
        <v>200</v>
      </c>
      <c r="D28" s="1" t="s">
        <v>201</v>
      </c>
    </row>
    <row r="29" customFormat="false" ht="15" hidden="false" customHeight="false" outlineLevel="0" collapsed="false">
      <c r="A29" s="0" t="s">
        <v>202</v>
      </c>
      <c r="B29" s="5" t="n">
        <v>1</v>
      </c>
      <c r="C29" s="0" t="n">
        <v>59</v>
      </c>
      <c r="D29" s="8" t="n">
        <f aca="false">B29*C29</f>
        <v>59</v>
      </c>
    </row>
    <row r="30" customFormat="false" ht="15" hidden="false" customHeight="false" outlineLevel="0" collapsed="false">
      <c r="A30" s="0" t="s">
        <v>203</v>
      </c>
      <c r="B30" s="5" t="n">
        <v>2</v>
      </c>
      <c r="C30" s="0" t="n">
        <v>27</v>
      </c>
      <c r="D30" s="8" t="n">
        <f aca="false">B30*C30</f>
        <v>54</v>
      </c>
    </row>
    <row r="31" customFormat="false" ht="15" hidden="false" customHeight="false" outlineLevel="0" collapsed="false">
      <c r="A31" s="0" t="s">
        <v>204</v>
      </c>
      <c r="B31" s="5" t="n">
        <v>1</v>
      </c>
      <c r="C31" s="0" t="n">
        <v>15</v>
      </c>
      <c r="D31" s="8" t="n">
        <f aca="false">B31*C31</f>
        <v>15</v>
      </c>
    </row>
    <row r="32" customFormat="false" ht="15" hidden="false" customHeight="false" outlineLevel="0" collapsed="false">
      <c r="A32" s="0" t="s">
        <v>205</v>
      </c>
      <c r="B32" s="5" t="n">
        <v>8</v>
      </c>
      <c r="C32" s="0" t="n">
        <v>1</v>
      </c>
      <c r="D32" s="8" t="n">
        <f aca="false">B32*C32</f>
        <v>8</v>
      </c>
    </row>
    <row r="33" customFormat="false" ht="15" hidden="false" customHeight="false" outlineLevel="0" collapsed="false">
      <c r="A33" s="0" t="s">
        <v>206</v>
      </c>
      <c r="B33" s="5" t="n">
        <v>1</v>
      </c>
      <c r="C33" s="0" t="n">
        <v>12</v>
      </c>
      <c r="D33" s="8" t="n">
        <f aca="false">B33*C33</f>
        <v>12</v>
      </c>
    </row>
    <row r="34" customFormat="false" ht="15" hidden="false" customHeight="false" outlineLevel="0" collapsed="false">
      <c r="A34" s="0" t="s">
        <v>207</v>
      </c>
      <c r="B34" s="5" t="n">
        <v>0</v>
      </c>
      <c r="C34" s="0" t="n">
        <v>25</v>
      </c>
      <c r="D34" s="8" t="n">
        <f aca="false">B34*C34</f>
        <v>0</v>
      </c>
    </row>
    <row r="35" customFormat="false" ht="15" hidden="false" customHeight="false" outlineLevel="0" collapsed="false">
      <c r="A35" s="0" t="s">
        <v>167</v>
      </c>
      <c r="B35" s="5" t="n">
        <v>3</v>
      </c>
      <c r="C35" s="0" t="n">
        <v>5</v>
      </c>
      <c r="D35" s="8" t="n">
        <f aca="false">B35*C35</f>
        <v>15</v>
      </c>
    </row>
    <row r="36" customFormat="false" ht="15" hidden="false" customHeight="false" outlineLevel="0" collapsed="false">
      <c r="A36" s="0" t="s">
        <v>208</v>
      </c>
      <c r="B36" s="5" t="n">
        <v>150</v>
      </c>
      <c r="C36" s="0" t="n">
        <v>0.25</v>
      </c>
      <c r="D36" s="8" t="n">
        <f aca="false">B36*C36</f>
        <v>37.5</v>
      </c>
    </row>
    <row r="37" customFormat="false" ht="15" hidden="false" customHeight="false" outlineLevel="0" collapsed="false">
      <c r="A37" s="0" t="s">
        <v>177</v>
      </c>
      <c r="B37" s="5" t="n">
        <v>0</v>
      </c>
      <c r="C37" s="0" t="n">
        <v>15</v>
      </c>
      <c r="D37" s="8" t="n">
        <f aca="false">B37*C37</f>
        <v>0</v>
      </c>
    </row>
    <row r="39" customFormat="false" ht="15" hidden="false" customHeight="false" outlineLevel="0" collapsed="false">
      <c r="A39" s="3" t="s">
        <v>209</v>
      </c>
      <c r="D39" s="3" t="n">
        <f aca="false">SUM(D29:D37)</f>
        <v>200.5</v>
      </c>
    </row>
    <row r="40" customFormat="false" ht="15" hidden="false" customHeight="false" outlineLevel="0" collapsed="false">
      <c r="A40" s="7" t="s">
        <v>210</v>
      </c>
      <c r="D40" s="4" t="n">
        <f aca="false">D39*12</f>
        <v>2406</v>
      </c>
    </row>
    <row r="42" customFormat="false" ht="15" hidden="false" customHeight="false" outlineLevel="0" collapsed="false">
      <c r="A42" s="7" t="s">
        <v>211</v>
      </c>
    </row>
    <row r="43" customFormat="false" ht="15" hidden="false" customHeight="false" outlineLevel="0" collapsed="false">
      <c r="A43" s="0" t="s">
        <v>212</v>
      </c>
      <c r="B43" s="0" t="n">
        <f aca="false">Resumen!C13</f>
        <v>58.588</v>
      </c>
      <c r="C43" s="0" t="s">
        <v>213</v>
      </c>
    </row>
    <row r="44" customFormat="false" ht="15" hidden="false" customHeight="false" outlineLevel="0" collapsed="false">
      <c r="A44" s="0" t="s">
        <v>214</v>
      </c>
      <c r="B44" s="0" t="n">
        <f aca="false">B36*0.015</f>
        <v>2.25</v>
      </c>
      <c r="C44" s="0" t="s">
        <v>213</v>
      </c>
    </row>
    <row r="45" customFormat="false" ht="15" hidden="false" customHeight="false" outlineLevel="0" collapsed="false">
      <c r="A45" s="0" t="s">
        <v>215</v>
      </c>
      <c r="B45" s="4" t="n">
        <f aca="false">B43+B44</f>
        <v>60.838</v>
      </c>
    </row>
    <row r="46" customFormat="false" ht="15" hidden="false" customHeight="false" outlineLevel="0" collapsed="false">
      <c r="A46" s="0" t="s">
        <v>216</v>
      </c>
      <c r="B46" s="4" t="n">
        <f aca="false">D39</f>
        <v>200.5</v>
      </c>
    </row>
    <row r="47" customFormat="false" ht="15" hidden="false" customHeight="false" outlineLevel="0" collapsed="false">
      <c r="A47" s="0" t="s">
        <v>217</v>
      </c>
      <c r="B47" s="9" t="n">
        <f aca="false">B46-B45</f>
        <v>139.662</v>
      </c>
    </row>
    <row r="48" customFormat="false" ht="15" hidden="false" customHeight="false" outlineLevel="0" collapsed="false">
      <c r="A48" s="0" t="s">
        <v>218</v>
      </c>
      <c r="B48" s="13" t="n">
        <f aca="false">B47/B46</f>
        <v>0.696568578553616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8" min="4" style="0" width="8"/>
    <col collapsed="false" customWidth="true" hidden="false" outlineLevel="0" max="9" min="9" style="0" width="10"/>
    <col collapsed="false" customWidth="true" hidden="false" outlineLevel="0" max="11" min="10" style="0" width="8"/>
    <col collapsed="false" customWidth="true" hidden="false" outlineLevel="0" max="12" min="12" style="0" width="10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1" t="s">
        <v>219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7" t="s">
        <v>220</v>
      </c>
      <c r="E3" s="7" t="s">
        <v>221</v>
      </c>
    </row>
    <row r="4" customFormat="false" ht="15" hidden="false" customHeight="false" outlineLevel="0" collapsed="false">
      <c r="A4" s="1" t="s">
        <v>41</v>
      </c>
      <c r="B4" s="1" t="s">
        <v>86</v>
      </c>
      <c r="C4" s="1" t="s">
        <v>222</v>
      </c>
      <c r="E4" s="1" t="s">
        <v>223</v>
      </c>
      <c r="F4" s="1" t="s">
        <v>213</v>
      </c>
    </row>
    <row r="5" customFormat="false" ht="15" hidden="false" customHeight="false" outlineLevel="0" collapsed="false">
      <c r="A5" s="0" t="s">
        <v>224</v>
      </c>
      <c r="B5" s="5" t="n">
        <v>29</v>
      </c>
      <c r="C5" s="0" t="n">
        <v>2</v>
      </c>
      <c r="E5" s="8" t="s">
        <v>193</v>
      </c>
      <c r="F5" s="5" t="n">
        <v>27</v>
      </c>
    </row>
    <row r="6" customFormat="false" ht="15" hidden="false" customHeight="false" outlineLevel="0" collapsed="false">
      <c r="A6" s="0" t="s">
        <v>225</v>
      </c>
      <c r="B6" s="5" t="n">
        <v>59</v>
      </c>
      <c r="C6" s="0" t="n">
        <v>5</v>
      </c>
      <c r="E6" s="8" t="s">
        <v>189</v>
      </c>
      <c r="F6" s="5" t="n">
        <v>15</v>
      </c>
    </row>
    <row r="7" customFormat="false" ht="15" hidden="false" customHeight="false" outlineLevel="0" collapsed="false">
      <c r="A7" s="0" t="s">
        <v>226</v>
      </c>
      <c r="B7" s="5" t="n">
        <v>99</v>
      </c>
      <c r="C7" s="0" t="n">
        <v>10</v>
      </c>
      <c r="E7" s="8" t="s">
        <v>227</v>
      </c>
      <c r="F7" s="5" t="n">
        <v>1</v>
      </c>
    </row>
    <row r="8" customFormat="false" ht="15" hidden="false" customHeight="false" outlineLevel="0" collapsed="false">
      <c r="A8" s="0" t="s">
        <v>228</v>
      </c>
      <c r="B8" s="5" t="n">
        <v>199</v>
      </c>
      <c r="C8" s="0" t="n">
        <v>999</v>
      </c>
      <c r="E8" s="8" t="s">
        <v>160</v>
      </c>
      <c r="F8" s="5" t="n">
        <v>12</v>
      </c>
    </row>
    <row r="9" customFormat="false" ht="15" hidden="false" customHeight="false" outlineLevel="0" collapsed="false">
      <c r="E9" s="0" t="s">
        <v>162</v>
      </c>
      <c r="F9" s="5" t="n">
        <v>25</v>
      </c>
    </row>
    <row r="10" customFormat="false" ht="15" hidden="false" customHeight="false" outlineLevel="0" collapsed="false">
      <c r="E10" s="0" t="s">
        <v>229</v>
      </c>
      <c r="F10" s="5" t="n">
        <v>5</v>
      </c>
    </row>
    <row r="11" customFormat="false" ht="15" hidden="false" customHeight="false" outlineLevel="0" collapsed="false">
      <c r="E11" s="0" t="s">
        <v>230</v>
      </c>
      <c r="F11" s="5" t="n">
        <v>10</v>
      </c>
    </row>
    <row r="12" customFormat="false" ht="15" hidden="false" customHeight="false" outlineLevel="0" collapsed="false">
      <c r="E12" s="0" t="s">
        <v>231</v>
      </c>
      <c r="F12" s="5" t="n">
        <v>20</v>
      </c>
    </row>
    <row r="13" customFormat="false" ht="15" hidden="false" customHeight="false" outlineLevel="0" collapsed="false">
      <c r="E13" s="0" t="s">
        <v>232</v>
      </c>
      <c r="F13" s="5" t="n">
        <v>8</v>
      </c>
    </row>
    <row r="14" customFormat="false" ht="15" hidden="false" customHeight="false" outlineLevel="0" collapsed="false">
      <c r="E14" s="0" t="s">
        <v>233</v>
      </c>
      <c r="F14" s="5" t="n">
        <v>15</v>
      </c>
    </row>
    <row r="17" customFormat="false" ht="15" hidden="false" customHeight="false" outlineLevel="0" collapsed="false">
      <c r="A17" s="11" t="s">
        <v>234</v>
      </c>
    </row>
    <row r="18" customFormat="false" ht="15" hidden="false" customHeight="false" outlineLevel="0" collapsed="false">
      <c r="A18" s="1" t="s">
        <v>235</v>
      </c>
      <c r="B18" s="1" t="s">
        <v>236</v>
      </c>
      <c r="C18" s="1" t="s">
        <v>237</v>
      </c>
      <c r="D18" s="1" t="s">
        <v>238</v>
      </c>
      <c r="E18" s="1" t="s">
        <v>189</v>
      </c>
      <c r="F18" s="1" t="s">
        <v>239</v>
      </c>
      <c r="G18" s="1" t="s">
        <v>240</v>
      </c>
      <c r="H18" s="1" t="s">
        <v>241</v>
      </c>
      <c r="I18" s="1" t="s">
        <v>242</v>
      </c>
      <c r="J18" s="1" t="s">
        <v>231</v>
      </c>
      <c r="K18" s="1" t="s">
        <v>243</v>
      </c>
      <c r="L18" s="1" t="s">
        <v>244</v>
      </c>
    </row>
    <row r="19" customFormat="false" ht="15" hidden="false" customHeight="false" outlineLevel="0" collapsed="false">
      <c r="A19" s="0" t="n">
        <v>1</v>
      </c>
      <c r="B19" s="0" t="s">
        <v>245</v>
      </c>
      <c r="C19" s="5" t="n">
        <v>2</v>
      </c>
      <c r="D19" s="5" t="n">
        <v>1</v>
      </c>
      <c r="E19" s="5" t="n">
        <v>1</v>
      </c>
      <c r="F19" s="5" t="n">
        <v>5</v>
      </c>
      <c r="G19" s="5" t="n">
        <v>1</v>
      </c>
      <c r="H19" s="5" t="n">
        <v>0</v>
      </c>
      <c r="I19" s="5" t="n">
        <v>2</v>
      </c>
      <c r="J19" s="5" t="n">
        <v>0</v>
      </c>
      <c r="K19" s="5" t="n">
        <v>100</v>
      </c>
      <c r="L19" s="4" t="n">
        <f aca="false">IF(C19=0,0,IF(C19=1,$B$5,IF(C19=2,$B$6,IF(C19=3,$B$7,$B$8)))+D19*$F$5+E19*$F$6+F19*$F$7+G19*$F$8+H19*$F$9+I19*$F$10+J19*$F$14+K19*0.2)</f>
        <v>148</v>
      </c>
    </row>
    <row r="20" customFormat="false" ht="15" hidden="false" customHeight="false" outlineLevel="0" collapsed="false">
      <c r="A20" s="0" t="n">
        <v>2</v>
      </c>
      <c r="B20" s="0" t="s">
        <v>246</v>
      </c>
      <c r="C20" s="5" t="n">
        <v>3</v>
      </c>
      <c r="D20" s="5" t="n">
        <v>3</v>
      </c>
      <c r="E20" s="5" t="n">
        <v>1</v>
      </c>
      <c r="F20" s="5" t="n">
        <v>15</v>
      </c>
      <c r="G20" s="5" t="n">
        <v>1</v>
      </c>
      <c r="H20" s="5" t="n">
        <v>1</v>
      </c>
      <c r="I20" s="5" t="n">
        <v>5</v>
      </c>
      <c r="J20" s="5" t="n">
        <v>1</v>
      </c>
      <c r="K20" s="5" t="n">
        <v>300</v>
      </c>
      <c r="L20" s="4" t="n">
        <f aca="false">IF(C20=0,0,IF(C20=1,$B$5,IF(C20=2,$B$6,IF(C20=3,$B$7,$B$8)))+D20*$F$5+E20*$F$6+F20*$F$7+G20*$F$8+H20*$F$9+I20*$F$10+J20*$F$14+K20*0.2)</f>
        <v>347</v>
      </c>
    </row>
    <row r="21" customFormat="false" ht="15" hidden="false" customHeight="false" outlineLevel="0" collapsed="false">
      <c r="A21" s="0" t="n">
        <v>3</v>
      </c>
      <c r="B21" s="0" t="s">
        <v>247</v>
      </c>
      <c r="C21" s="5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20</v>
      </c>
      <c r="L21" s="4" t="n">
        <f aca="false">IF(C21=0,0,IF(C21=1,$B$5,IF(C21=2,$B$6,IF(C21=3,$B$7,$B$8)))+D21*$F$5+E21*$F$6+F21*$F$7+G21*$F$8+H21*$F$9+I21*$F$10+J21*$F$14+K21*0.2)</f>
        <v>33</v>
      </c>
    </row>
    <row r="22" customFormat="false" ht="15" hidden="false" customHeight="false" outlineLevel="0" collapsed="false">
      <c r="A22" s="0" t="n">
        <v>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f aca="false">IF(C22=0,0,IF(C22=1,$B$5,IF(C22=2,$B$6,IF(C22=3,$B$7,$B$8)))+D22*$F$5+E22*$F$6+F22*$F$7+G22*$F$8+H22*$F$9+I22*$F$10+J22*$F$14+K22*0.2)</f>
        <v>0</v>
      </c>
    </row>
    <row r="23" customFormat="false" ht="15" hidden="false" customHeight="false" outlineLevel="0" collapsed="false">
      <c r="A23" s="0" t="n">
        <v>5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4" t="n">
        <f aca="false">IF(C23=0,0,IF(C23=1,$B$5,IF(C23=2,$B$6,IF(C23=3,$B$7,$B$8)))+D23*$F$5+E23*$F$6+F23*$F$7+G23*$F$8+H23*$F$9+I23*$F$10+J23*$F$14+K23*0.2)</f>
        <v>0</v>
      </c>
    </row>
    <row r="24" customFormat="false" ht="15" hidden="false" customHeight="false" outlineLevel="0" collapsed="false">
      <c r="A24" s="0" t="n">
        <v>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4" t="n">
        <f aca="false">IF(C24=0,0,IF(C24=1,$B$5,IF(C24=2,$B$6,IF(C24=3,$B$7,$B$8)))+D24*$F$5+E24*$F$6+F24*$F$7+G24*$F$8+H24*$F$9+I24*$F$10+J24*$F$14+K24*0.2)</f>
        <v>0</v>
      </c>
    </row>
    <row r="25" customFormat="false" ht="15" hidden="false" customHeight="false" outlineLevel="0" collapsed="false">
      <c r="A25" s="0" t="n">
        <v>7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f aca="false">IF(C25=0,0,IF(C25=1,$B$5,IF(C25=2,$B$6,IF(C25=3,$B$7,$B$8)))+D25*$F$5+E25*$F$6+F25*$F$7+G25*$F$8+H25*$F$9+I25*$F$10+J25*$F$14+K25*0.2)</f>
        <v>0</v>
      </c>
    </row>
    <row r="26" customFormat="false" ht="15" hidden="false" customHeight="false" outlineLevel="0" collapsed="false">
      <c r="A26" s="0" t="n">
        <v>8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4" t="n">
        <f aca="false">IF(C26=0,0,IF(C26=1,$B$5,IF(C26=2,$B$6,IF(C26=3,$B$7,$B$8)))+D26*$F$5+E26*$F$6+F26*$F$7+G26*$F$8+H26*$F$9+I26*$F$10+J26*$F$14+K26*0.2)</f>
        <v>0</v>
      </c>
    </row>
    <row r="27" customFormat="false" ht="15" hidden="false" customHeight="false" outlineLevel="0" collapsed="false">
      <c r="A27" s="0" t="n">
        <v>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4" t="n">
        <f aca="false">IF(C27=0,0,IF(C27=1,$B$5,IF(C27=2,$B$6,IF(C27=3,$B$7,$B$8)))+D27*$F$5+E27*$F$6+F27*$F$7+G27*$F$8+H27*$F$9+I27*$F$10+J27*$F$14+K27*0.2)</f>
        <v>0</v>
      </c>
    </row>
    <row r="28" customFormat="false" ht="15" hidden="false" customHeight="false" outlineLevel="0" collapsed="false">
      <c r="A28" s="0" t="n">
        <v>10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4" t="n">
        <f aca="false">IF(C28=0,0,IF(C28=1,$B$5,IF(C28=2,$B$6,IF(C28=3,$B$7,$B$8)))+D28*$F$5+E28*$F$6+F28*$F$7+G28*$F$8+H28*$F$9+I28*$F$10+J28*$F$14+K28*0.2)</f>
        <v>0</v>
      </c>
    </row>
    <row r="29" customFormat="false" ht="15" hidden="false" customHeight="false" outlineLevel="0" collapsed="false">
      <c r="A29" s="7" t="s">
        <v>248</v>
      </c>
      <c r="K29" s="8" t="n">
        <f aca="false">SUM(K19:K28)</f>
        <v>420</v>
      </c>
      <c r="L29" s="3" t="n">
        <f aca="false">SUM(L19:L28)</f>
        <v>528</v>
      </c>
    </row>
    <row r="32" customFormat="false" ht="15" hidden="false" customHeight="false" outlineLevel="0" collapsed="false">
      <c r="A32" s="11" t="s">
        <v>249</v>
      </c>
      <c r="E32" s="7" t="s">
        <v>250</v>
      </c>
    </row>
    <row r="33" customFormat="false" ht="15" hidden="false" customHeight="false" outlineLevel="0" collapsed="false">
      <c r="A33" s="1" t="s">
        <v>5</v>
      </c>
      <c r="B33" s="1" t="s">
        <v>251</v>
      </c>
      <c r="C33" s="1" t="s">
        <v>8</v>
      </c>
      <c r="E33" s="8" t="s">
        <v>252</v>
      </c>
      <c r="F33" s="7" t="n">
        <f aca="false">COUNTIF(C19:C28,"&gt;0")</f>
        <v>3</v>
      </c>
    </row>
    <row r="34" customFormat="false" ht="15" hidden="false" customHeight="false" outlineLevel="0" collapsed="false">
      <c r="A34" s="0" t="s">
        <v>253</v>
      </c>
      <c r="B34" s="14" t="n">
        <f aca="false">L29</f>
        <v>528</v>
      </c>
      <c r="C34" s="8" t="s">
        <v>254</v>
      </c>
      <c r="E34" s="8" t="s">
        <v>255</v>
      </c>
      <c r="F34" s="7" t="n">
        <f aca="false">IF(F33&gt;0,L29/F33,0)</f>
        <v>176</v>
      </c>
    </row>
    <row r="35" customFormat="false" ht="15" hidden="false" customHeight="false" outlineLevel="0" collapsed="false">
      <c r="A35" s="0" t="s">
        <v>256</v>
      </c>
      <c r="B35" s="0" t="n">
        <f aca="false">Resumen!C13</f>
        <v>58.588</v>
      </c>
      <c r="C35" s="0" t="s">
        <v>257</v>
      </c>
      <c r="E35" s="0" t="s">
        <v>258</v>
      </c>
      <c r="F35" s="0" t="n">
        <f aca="false">K29</f>
        <v>420</v>
      </c>
    </row>
    <row r="36" customFormat="false" ht="15" hidden="false" customHeight="false" outlineLevel="0" collapsed="false">
      <c r="A36" s="0" t="s">
        <v>259</v>
      </c>
      <c r="B36" s="0" t="n">
        <f aca="false">K29*0.015</f>
        <v>6.3</v>
      </c>
      <c r="C36" s="0" t="s">
        <v>260</v>
      </c>
      <c r="E36" s="0" t="s">
        <v>261</v>
      </c>
      <c r="F36" s="0" t="n">
        <f aca="false">K29*0.2</f>
        <v>84</v>
      </c>
    </row>
    <row r="37" customFormat="false" ht="15" hidden="false" customHeight="false" outlineLevel="0" collapsed="false">
      <c r="A37" s="0" t="s">
        <v>262</v>
      </c>
      <c r="B37" s="5" t="n">
        <v>50</v>
      </c>
      <c r="C37" s="8" t="s">
        <v>263</v>
      </c>
      <c r="E37" s="8" t="s">
        <v>264</v>
      </c>
      <c r="F37" s="14" t="n">
        <f aca="false">F36-(K29*0.015)</f>
        <v>77.7</v>
      </c>
    </row>
    <row r="38" customFormat="false" ht="15" hidden="false" customHeight="false" outlineLevel="0" collapsed="false">
      <c r="A38" s="0" t="s">
        <v>265</v>
      </c>
      <c r="B38" s="15" t="n">
        <f aca="false">SUM(B35:B37)</f>
        <v>114.888</v>
      </c>
    </row>
    <row r="39" customFormat="false" ht="15" hidden="false" customHeight="false" outlineLevel="0" collapsed="false">
      <c r="A39" s="0" t="s">
        <v>266</v>
      </c>
      <c r="B39" s="11" t="n">
        <f aca="false">B34-B38</f>
        <v>413.112</v>
      </c>
      <c r="E39" s="8" t="s">
        <v>267</v>
      </c>
      <c r="F39" s="8" t="n">
        <f aca="false">COUNTIF(C19:C28,1)</f>
        <v>1</v>
      </c>
    </row>
    <row r="40" customFormat="false" ht="15" hidden="false" customHeight="false" outlineLevel="0" collapsed="false">
      <c r="A40" s="0" t="s">
        <v>268</v>
      </c>
      <c r="B40" s="16" t="n">
        <f aca="false">IF(B34&gt;0,B39/B34,0)</f>
        <v>0.782409090909091</v>
      </c>
      <c r="E40" s="8" t="s">
        <v>269</v>
      </c>
      <c r="F40" s="8" t="n">
        <f aca="false">COUNTIF(C19:C28,2)</f>
        <v>1</v>
      </c>
    </row>
    <row r="41" customFormat="false" ht="15" hidden="false" customHeight="false" outlineLevel="0" collapsed="false">
      <c r="E41" s="0" t="s">
        <v>270</v>
      </c>
      <c r="F41" s="0" t="n">
        <f aca="false">COUNTIF(C19:C28,3)</f>
        <v>1</v>
      </c>
    </row>
    <row r="42" customFormat="false" ht="15" hidden="false" customHeight="false" outlineLevel="0" collapsed="false">
      <c r="A42" s="7" t="s">
        <v>271</v>
      </c>
      <c r="E42" s="8" t="s">
        <v>272</v>
      </c>
      <c r="F42" s="8" t="n">
        <f aca="false">COUNTIF(C19:C28,4)</f>
        <v>0</v>
      </c>
    </row>
    <row r="43" customFormat="false" ht="15" hidden="false" customHeight="false" outlineLevel="0" collapsed="false">
      <c r="A43" s="0" t="s">
        <v>273</v>
      </c>
      <c r="B43" s="14" t="n">
        <f aca="false">B34*12</f>
        <v>6336</v>
      </c>
    </row>
    <row r="44" customFormat="false" ht="15" hidden="false" customHeight="false" outlineLevel="0" collapsed="false">
      <c r="A44" s="0" t="s">
        <v>274</v>
      </c>
      <c r="B44" s="17" t="n">
        <f aca="false">B38*12</f>
        <v>1378.656</v>
      </c>
    </row>
    <row r="45" customFormat="false" ht="15" hidden="false" customHeight="false" outlineLevel="0" collapsed="false">
      <c r="A45" s="0" t="s">
        <v>275</v>
      </c>
      <c r="B45" s="9" t="n">
        <f aca="false">B43-B44</f>
        <v>4957.344</v>
      </c>
    </row>
    <row r="47" customFormat="false" ht="15" hidden="false" customHeight="false" outlineLevel="0" collapsed="false">
      <c r="A47" s="7" t="s">
        <v>276</v>
      </c>
    </row>
    <row r="48" customFormat="false" ht="15" hidden="false" customHeight="false" outlineLevel="0" collapsed="false">
      <c r="A48" s="0" t="s">
        <v>277</v>
      </c>
      <c r="B48" s="5" t="n">
        <v>8000</v>
      </c>
      <c r="C48" s="8" t="s">
        <v>278</v>
      </c>
    </row>
    <row r="49" customFormat="false" ht="15" hidden="false" customHeight="false" outlineLevel="0" collapsed="false">
      <c r="A49" s="0" t="s">
        <v>279</v>
      </c>
      <c r="B49" s="9" t="n">
        <f aca="false">IF(B39&gt;0,ROUND(B48/B39,1),"N/A")</f>
        <v>19.4</v>
      </c>
    </row>
    <row r="52" customFormat="false" ht="15" hidden="false" customHeight="false" outlineLevel="0" collapsed="false">
      <c r="A52" s="7" t="s">
        <v>280</v>
      </c>
    </row>
    <row r="53" customFormat="false" ht="15" hidden="false" customHeight="false" outlineLevel="0" collapsed="false">
      <c r="A53" s="0" t="s">
        <v>281</v>
      </c>
    </row>
    <row r="54" customFormat="false" ht="15" hidden="false" customHeight="false" outlineLevel="0" collapsed="false">
      <c r="A54" s="0" t="s">
        <v>282</v>
      </c>
    </row>
    <row r="55" customFormat="false" ht="15" hidden="false" customHeight="false" outlineLevel="0" collapsed="false">
      <c r="A55" s="0" t="s">
        <v>283</v>
      </c>
    </row>
    <row r="56" customFormat="false" ht="15" hidden="false" customHeight="false" outlineLevel="0" collapsed="false">
      <c r="A56" s="0" t="s">
        <v>284</v>
      </c>
    </row>
    <row r="57" customFormat="false" ht="15" hidden="false" customHeight="false" outlineLevel="0" collapsed="false">
      <c r="A57" s="0" t="s">
        <v>285</v>
      </c>
    </row>
    <row r="58" customFormat="false" ht="15" hidden="false" customHeight="false" outlineLevel="0" collapsed="false">
      <c r="A58" s="0" t="s">
        <v>286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3" min="2" style="0" width="15"/>
    <col collapsed="false" customWidth="true" hidden="false" outlineLevel="0" max="4" min="4" style="0" width="35"/>
  </cols>
  <sheetData>
    <row r="1" customFormat="false" ht="15" hidden="false" customHeight="false" outlineLevel="0" collapsed="false">
      <c r="A1" s="1" t="s">
        <v>287</v>
      </c>
      <c r="B1" s="1"/>
      <c r="C1" s="1"/>
      <c r="D1" s="1"/>
    </row>
    <row r="3" customFormat="false" ht="15" hidden="false" customHeight="false" outlineLevel="0" collapsed="false">
      <c r="A3" s="1" t="s">
        <v>41</v>
      </c>
      <c r="B3" s="1" t="s">
        <v>288</v>
      </c>
      <c r="C3" s="1" t="s">
        <v>24</v>
      </c>
      <c r="D3" s="1" t="s">
        <v>289</v>
      </c>
    </row>
    <row r="4" customFormat="false" ht="15" hidden="false" customHeight="false" outlineLevel="0" collapsed="false">
      <c r="A4" s="2" t="s">
        <v>290</v>
      </c>
      <c r="B4" s="2" t="s">
        <v>291</v>
      </c>
      <c r="C4" s="5" t="n">
        <v>29</v>
      </c>
      <c r="D4" s="2" t="s">
        <v>292</v>
      </c>
    </row>
    <row r="5" customFormat="false" ht="15" hidden="false" customHeight="false" outlineLevel="0" collapsed="false">
      <c r="A5" s="2" t="s">
        <v>293</v>
      </c>
      <c r="B5" s="2" t="s">
        <v>294</v>
      </c>
      <c r="C5" s="5" t="n">
        <v>59</v>
      </c>
      <c r="D5" s="2" t="s">
        <v>295</v>
      </c>
    </row>
    <row r="6" customFormat="false" ht="15" hidden="false" customHeight="false" outlineLevel="0" collapsed="false">
      <c r="A6" s="2" t="s">
        <v>296</v>
      </c>
      <c r="B6" s="2" t="s">
        <v>297</v>
      </c>
      <c r="C6" s="5" t="n">
        <v>99</v>
      </c>
      <c r="D6" s="2" t="s">
        <v>298</v>
      </c>
    </row>
    <row r="7" customFormat="false" ht="15" hidden="false" customHeight="false" outlineLevel="0" collapsed="false">
      <c r="A7" s="2" t="s">
        <v>82</v>
      </c>
      <c r="B7" s="2" t="s">
        <v>299</v>
      </c>
      <c r="C7" s="5" t="n">
        <v>199</v>
      </c>
      <c r="D7" s="2" t="s">
        <v>300</v>
      </c>
    </row>
    <row r="10" customFormat="false" ht="15" hidden="false" customHeight="false" outlineLevel="0" collapsed="false">
      <c r="A10" s="7" t="s">
        <v>301</v>
      </c>
    </row>
    <row r="11" customFormat="false" ht="15" hidden="false" customHeight="false" outlineLevel="0" collapsed="false">
      <c r="A11" s="1" t="s">
        <v>302</v>
      </c>
      <c r="B11" s="1" t="s">
        <v>303</v>
      </c>
      <c r="C11" s="1" t="s">
        <v>304</v>
      </c>
      <c r="D11" s="1" t="s">
        <v>305</v>
      </c>
    </row>
    <row r="12" customFormat="false" ht="15" hidden="false" customHeight="false" outlineLevel="0" collapsed="false">
      <c r="A12" s="2" t="s">
        <v>306</v>
      </c>
      <c r="B12" s="5" t="n">
        <v>0.3</v>
      </c>
      <c r="C12" s="2" t="n">
        <f aca="false">0.015</f>
        <v>0.015</v>
      </c>
      <c r="D12" s="18" t="n">
        <f aca="false">1-(C12/B12)</f>
        <v>0.95</v>
      </c>
    </row>
    <row r="13" customFormat="false" ht="15" hidden="false" customHeight="false" outlineLevel="0" collapsed="false">
      <c r="A13" s="2" t="s">
        <v>307</v>
      </c>
      <c r="B13" s="5" t="n">
        <v>0.25</v>
      </c>
      <c r="C13" s="2" t="n">
        <f aca="false">0.015</f>
        <v>0.015</v>
      </c>
      <c r="D13" s="18" t="n">
        <f aca="false">1-(C13/B13)</f>
        <v>0.94</v>
      </c>
    </row>
    <row r="14" customFormat="false" ht="15" hidden="false" customHeight="false" outlineLevel="0" collapsed="false">
      <c r="A14" s="2" t="s">
        <v>308</v>
      </c>
      <c r="B14" s="5" t="n">
        <v>0.2</v>
      </c>
      <c r="C14" s="2" t="n">
        <f aca="false">0.015</f>
        <v>0.015</v>
      </c>
      <c r="D14" s="18" t="n">
        <f aca="false">1-(C14/B14)</f>
        <v>0.925</v>
      </c>
    </row>
    <row r="15" customFormat="false" ht="15" hidden="false" customHeight="false" outlineLevel="0" collapsed="false">
      <c r="A15" s="2" t="s">
        <v>309</v>
      </c>
      <c r="B15" s="5" t="n">
        <v>0.15</v>
      </c>
      <c r="C15" s="2" t="n">
        <f aca="false">0.015</f>
        <v>0.015</v>
      </c>
      <c r="D15" s="18" t="n">
        <f aca="false">1-(C15/B15)</f>
        <v>0.9</v>
      </c>
    </row>
    <row r="16" customFormat="false" ht="15" hidden="false" customHeight="false" outlineLevel="0" collapsed="false">
      <c r="A16" s="2" t="s">
        <v>310</v>
      </c>
      <c r="B16" s="5" t="n">
        <v>0.12</v>
      </c>
      <c r="C16" s="2" t="n">
        <f aca="false">0.015</f>
        <v>0.015</v>
      </c>
      <c r="D16" s="18" t="n">
        <f aca="false">1-(C16/B16)</f>
        <v>0.875</v>
      </c>
    </row>
    <row r="19" customFormat="false" ht="15" hidden="false" customHeight="false" outlineLevel="0" collapsed="false">
      <c r="A19" s="7" t="s">
        <v>311</v>
      </c>
    </row>
    <row r="20" customFormat="false" ht="15" hidden="false" customHeight="false" outlineLevel="0" collapsed="false">
      <c r="A20" s="0" t="s">
        <v>312</v>
      </c>
      <c r="B20" s="5" t="n">
        <v>8000</v>
      </c>
      <c r="C20" s="8" t="s">
        <v>313</v>
      </c>
    </row>
    <row r="21" customFormat="false" ht="15" hidden="false" customHeight="false" outlineLevel="0" collapsed="false">
      <c r="A21" s="0" t="s">
        <v>314</v>
      </c>
      <c r="B21" s="5" t="n">
        <v>10</v>
      </c>
    </row>
    <row r="22" customFormat="false" ht="15" hidden="false" customHeight="false" outlineLevel="0" collapsed="false">
      <c r="A22" s="0" t="s">
        <v>315</v>
      </c>
      <c r="B22" s="4" t="n">
        <f aca="false">B21*59</f>
        <v>590</v>
      </c>
    </row>
    <row r="23" customFormat="false" ht="15" hidden="false" customHeight="false" outlineLevel="0" collapsed="false">
      <c r="A23" s="0" t="s">
        <v>316</v>
      </c>
      <c r="B23" s="4" t="n">
        <f aca="false">Resumen!C13</f>
        <v>58.588</v>
      </c>
    </row>
    <row r="24" customFormat="false" ht="15" hidden="false" customHeight="false" outlineLevel="0" collapsed="false">
      <c r="A24" s="0" t="s">
        <v>317</v>
      </c>
      <c r="B24" s="3" t="n">
        <f aca="false">B22-B23</f>
        <v>531.412</v>
      </c>
    </row>
    <row r="25" customFormat="false" ht="15" hidden="false" customHeight="false" outlineLevel="0" collapsed="false">
      <c r="A25" s="0" t="s">
        <v>318</v>
      </c>
      <c r="B25" s="9" t="n">
        <f aca="false">ROUND(B20/B24,1)</f>
        <v>15.1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2025-12-22T14:39:22Z</dcterms:created>
  <dc:creator>openpyxl</dc:creator>
  <dc:description/>
  <dc:language>en-US</dc:language>
  <cp:lastModifiedBy/>
  <dcterms:modified xsi:type="dcterms:W3CDTF">2025-12-22T14:39:22Z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