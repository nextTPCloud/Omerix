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os\src\omerix\docs\"/>
    </mc:Choice>
  </mc:AlternateContent>
  <xr:revisionPtr revIDLastSave="0" documentId="13_ncr:1_{98038825-8292-4BDC-9ABA-496660901DD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Resumen" sheetId="1" r:id="rId1"/>
    <sheet name="Hosting" sheetId="2" r:id="rId2"/>
    <sheet name="MongoDB" sheetId="3" r:id="rId3"/>
    <sheet name="API Claude" sheetId="4" r:id="rId4"/>
    <sheet name="Almacenamiento" sheetId="5" r:id="rId5"/>
    <sheet name="Precios Saa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1" l="1"/>
  <c r="B5" i="2"/>
  <c r="B22" i="6"/>
  <c r="C16" i="6"/>
  <c r="D16" i="6" s="1"/>
  <c r="C15" i="6"/>
  <c r="D15" i="6" s="1"/>
  <c r="C14" i="6"/>
  <c r="D14" i="6" s="1"/>
  <c r="C13" i="6"/>
  <c r="D13" i="6" s="1"/>
  <c r="C12" i="6"/>
  <c r="D12" i="6" s="1"/>
  <c r="D37" i="5"/>
  <c r="C37" i="5"/>
  <c r="D36" i="5"/>
  <c r="D38" i="5" s="1"/>
  <c r="C36" i="5"/>
  <c r="C38" i="5" s="1"/>
  <c r="B13" i="4"/>
  <c r="C20" i="4" s="1"/>
  <c r="C8" i="2"/>
  <c r="C7" i="1" s="1"/>
  <c r="B8" i="2"/>
  <c r="C10" i="1"/>
  <c r="B10" i="1"/>
  <c r="D20" i="4" l="1"/>
  <c r="E20" i="4" s="1"/>
  <c r="F20" i="4"/>
  <c r="C18" i="4"/>
  <c r="C16" i="4"/>
  <c r="C19" i="4"/>
  <c r="C17" i="4"/>
  <c r="D17" i="4" l="1"/>
  <c r="E17" i="4" s="1"/>
  <c r="E21" i="4" s="1"/>
  <c r="B9" i="1" s="1"/>
  <c r="B13" i="1" s="1"/>
  <c r="F17" i="4"/>
  <c r="F21" i="4" s="1"/>
  <c r="C9" i="1" s="1"/>
  <c r="C13" i="1" s="1"/>
  <c r="B23" i="6" s="1"/>
  <c r="B24" i="6" s="1"/>
  <c r="B25" i="6" s="1"/>
  <c r="F18" i="4"/>
  <c r="D18" i="4"/>
  <c r="E18" i="4" s="1"/>
  <c r="F19" i="4"/>
  <c r="D19" i="4"/>
  <c r="E19" i="4" s="1"/>
  <c r="F16" i="4"/>
  <c r="D16" i="4"/>
  <c r="E16" i="4" s="1"/>
</calcChain>
</file>

<file path=xl/sharedStrings.xml><?xml version="1.0" encoding="utf-8"?>
<sst xmlns="http://schemas.openxmlformats.org/spreadsheetml/2006/main" count="192" uniqueCount="180">
  <si>
    <t>ANÁLISIS DE COSTES - OMERIX ERP</t>
  </si>
  <si>
    <t>Fecha de análisis:</t>
  </si>
  <si>
    <t>Diciembre 2025</t>
  </si>
  <si>
    <t>Moneda:</t>
  </si>
  <si>
    <t>EUR (€)</t>
  </si>
  <si>
    <t>Concepto</t>
  </si>
  <si>
    <t>Mínimo (€/mes)</t>
  </si>
  <si>
    <t>Máximo (€/mes)</t>
  </si>
  <si>
    <t>Notas</t>
  </si>
  <si>
    <t>Hosting VPS</t>
  </si>
  <si>
    <t>Hostinger KVM recomendado</t>
  </si>
  <si>
    <t>MongoDB Atlas</t>
  </si>
  <si>
    <t>API Claude (IA)</t>
  </si>
  <si>
    <t>Coste por procesamiento albaranes</t>
  </si>
  <si>
    <t>Almacenamiento (S3/DO)</t>
  </si>
  <si>
    <t>Para archivos y backups</t>
  </si>
  <si>
    <t>Dominio + SSL</t>
  </si>
  <si>
    <t>Renovación anual prorrateada</t>
  </si>
  <si>
    <t>Backup extra</t>
  </si>
  <si>
    <t>Opcional según proveedor</t>
  </si>
  <si>
    <t>TOTAL INFRAESTRUCTURA</t>
  </si>
  <si>
    <t>HOSTING VPS - COMPARATIVA</t>
  </si>
  <si>
    <t>Proveedor / Plan</t>
  </si>
  <si>
    <t>Precio (€/mes)</t>
  </si>
  <si>
    <t>Specs</t>
  </si>
  <si>
    <t>Hostinger KVM1</t>
  </si>
  <si>
    <t>1 vCPU, 4GB RAM</t>
  </si>
  <si>
    <t>Básico para desarrollo</t>
  </si>
  <si>
    <t>Hostinger KVM2 ⭐</t>
  </si>
  <si>
    <t>2 vCPU, 8GB RAM</t>
  </si>
  <si>
    <t>RECOMENDADO para producción</t>
  </si>
  <si>
    <t>Hostinger KVM4</t>
  </si>
  <si>
    <t>4 vCPU, 16GB RAM</t>
  </si>
  <si>
    <t>Para múltiples clientes</t>
  </si>
  <si>
    <t>DigitalOcean Droplet</t>
  </si>
  <si>
    <t>2 vCPU, 4GB RAM</t>
  </si>
  <si>
    <t>Alternativa premium</t>
  </si>
  <si>
    <t>Rango recomendado:</t>
  </si>
  <si>
    <t>Fácil deploy, puede escalar</t>
  </si>
  <si>
    <t>MONGODB ATLAS - PLANES</t>
  </si>
  <si>
    <t>Plan</t>
  </si>
  <si>
    <t>Almacen.</t>
  </si>
  <si>
    <t>M0 (Free)</t>
  </si>
  <si>
    <t>512 MB</t>
  </si>
  <si>
    <t>Desarrollo/testing, sin SLA</t>
  </si>
  <si>
    <t>M2 (Shared)</t>
  </si>
  <si>
    <t>2 GB</t>
  </si>
  <si>
    <t>Pequeños proyectos</t>
  </si>
  <si>
    <t>M5 (Shared) ⭐</t>
  </si>
  <si>
    <t>5 GB</t>
  </si>
  <si>
    <t>RECOMENDADO producción básica</t>
  </si>
  <si>
    <t>M10 (Dedicated)</t>
  </si>
  <si>
    <t>10 GB</t>
  </si>
  <si>
    <t>Alta disponibilidad</t>
  </si>
  <si>
    <t>M20 (Dedicated)</t>
  </si>
  <si>
    <t>20 GB</t>
  </si>
  <si>
    <t>Múltiples clientes</t>
  </si>
  <si>
    <t>Rango típico:</t>
  </si>
  <si>
    <t>COSTES API CLAUDE - PROCESAMIENTO ALBARANES</t>
  </si>
  <si>
    <t>Modelo: Claude Sonnet 4.5</t>
  </si>
  <si>
    <t>Precio entrada: $3 / millón tokens</t>
  </si>
  <si>
    <t>Precio salida: $15 / millón tokens</t>
  </si>
  <si>
    <t>Descuento Batch API: 50%</t>
  </si>
  <si>
    <t>Parámetro</t>
  </si>
  <si>
    <t>Valor</t>
  </si>
  <si>
    <t>Unidad</t>
  </si>
  <si>
    <t>Tokens entrada por albarán</t>
  </si>
  <si>
    <t>tokens</t>
  </si>
  <si>
    <t>Tokens salida por albarán</t>
  </si>
  <si>
    <t>Tipo cambio EUR/USD</t>
  </si>
  <si>
    <t>Coste por albarán (€):</t>
  </si>
  <si>
    <t>Escenario</t>
  </si>
  <si>
    <t>Albaranes/mes</t>
  </si>
  <si>
    <t>Coste (€)</t>
  </si>
  <si>
    <t>Con Batch -50%</t>
  </si>
  <si>
    <t>Mínimo</t>
  </si>
  <si>
    <t>Máximo</t>
  </si>
  <si>
    <t>Autónomo</t>
  </si>
  <si>
    <t>Pequeño negocio</t>
  </si>
  <si>
    <t>Mediano</t>
  </si>
  <si>
    <t>Grande</t>
  </si>
  <si>
    <t>Enterprise</t>
  </si>
  <si>
    <t>Rango típico (pequeño):</t>
  </si>
  <si>
    <t>ALMACENAMIENTO - DIGITALOCEAN SPACES vs AWS S3</t>
  </si>
  <si>
    <t>📦 DIGITALOCEAN SPACES</t>
  </si>
  <si>
    <t>Precio</t>
  </si>
  <si>
    <t>Incluido</t>
  </si>
  <si>
    <t>Plan base</t>
  </si>
  <si>
    <t>$5/mes</t>
  </si>
  <si>
    <t>250 GB + 1 TB transfer</t>
  </si>
  <si>
    <t>CDN incluido gratis</t>
  </si>
  <si>
    <t>Almacenamiento extra</t>
  </si>
  <si>
    <t>$0.02/GiB</t>
  </si>
  <si>
    <t>-</t>
  </si>
  <si>
    <t>Sobre los 250 GB</t>
  </si>
  <si>
    <t>Transferencia extra</t>
  </si>
  <si>
    <t>$0.01/GiB</t>
  </si>
  <si>
    <t>Sobre 1 TB salida</t>
  </si>
  <si>
    <t>Inbound (entrada)</t>
  </si>
  <si>
    <t>GRATIS</t>
  </si>
  <si>
    <t>Ilimitado</t>
  </si>
  <si>
    <t>Subir archivos sin coste</t>
  </si>
  <si>
    <t>☁️ AWS S3</t>
  </si>
  <si>
    <t>Clase de almacenamiento</t>
  </si>
  <si>
    <t>Precio/GB/mes</t>
  </si>
  <si>
    <t>Uso recomendado</t>
  </si>
  <si>
    <t>S3 Standard</t>
  </si>
  <si>
    <t>$0.023</t>
  </si>
  <si>
    <t>Acceso frecuente</t>
  </si>
  <si>
    <t>Primeros 50 TB</t>
  </si>
  <si>
    <t>S3 Standard-IA</t>
  </si>
  <si>
    <t>$0.0125</t>
  </si>
  <si>
    <t>Acceso infrecuente</t>
  </si>
  <si>
    <t>Recuperación rápida</t>
  </si>
  <si>
    <t>S3 One Zone-IA</t>
  </si>
  <si>
    <t>$0.01</t>
  </si>
  <si>
    <t>Backups secundarios</t>
  </si>
  <si>
    <t>Sin redundancia multi-zona</t>
  </si>
  <si>
    <t>S3 Glacier Instant</t>
  </si>
  <si>
    <t>$0.004</t>
  </si>
  <si>
    <t>Archivo con acceso rápido</t>
  </si>
  <si>
    <t>68% más barato que IA</t>
  </si>
  <si>
    <t>Transfer OUT</t>
  </si>
  <si>
    <t>$0.09/GB</t>
  </si>
  <si>
    <t>Descarga a internet</t>
  </si>
  <si>
    <t>Primeros 10 TB</t>
  </si>
  <si>
    <t>⭐ RECOMENDACIÓN PARA OMERIX</t>
  </si>
  <si>
    <t>Rango mensual estimado:</t>
  </si>
  <si>
    <t>Uso típico: 50-100 GB</t>
  </si>
  <si>
    <t>Para un ERP como Omerix con almacenamiento de:</t>
  </si>
  <si>
    <t>• Imágenes de albaranes/facturas</t>
  </si>
  <si>
    <t>• Backups de MongoDB</t>
  </si>
  <si>
    <t>• Archivos de clientes</t>
  </si>
  <si>
    <t>✅ RECOMENDACIÓN: DigitalOcean Spaces</t>
  </si>
  <si>
    <t>Razones:</t>
  </si>
  <si>
    <t>1. Precio fijo predecible ($5/mes incluye 250 GB)</t>
  </si>
  <si>
    <t>2. CDN integrado sin coste extra</t>
  </si>
  <si>
    <t>3. Compatible S3 (fácil migración)</t>
  </si>
  <si>
    <t>4. Transfer generoso (1 TB incluido)</t>
  </si>
  <si>
    <t>5. Simplicidad vs complejidad de precios AWS</t>
  </si>
  <si>
    <t>📊 CALCULADORA DE COSTES</t>
  </si>
  <si>
    <t>Tu escenario</t>
  </si>
  <si>
    <t>DO Spaces</t>
  </si>
  <si>
    <t>AWS S3</t>
  </si>
  <si>
    <t>GB almacenados</t>
  </si>
  <si>
    <t>GB transfer salida/mes</t>
  </si>
  <si>
    <t>TOTAL MENSUAL (€)</t>
  </si>
  <si>
    <t>MODELO DE PRECIOS SAAS - OMERIX</t>
  </si>
  <si>
    <t>Usuarios</t>
  </si>
  <si>
    <t>Características</t>
  </si>
  <si>
    <t>Starter</t>
  </si>
  <si>
    <t>1-2</t>
  </si>
  <si>
    <t>Módulos básicos, 1 empresa</t>
  </si>
  <si>
    <t>Profesional</t>
  </si>
  <si>
    <t>3-5</t>
  </si>
  <si>
    <t>+ Informes avanzados, soporte email</t>
  </si>
  <si>
    <t>Business</t>
  </si>
  <si>
    <t>6-10</t>
  </si>
  <si>
    <t>+ Multi-empresa, API, prioridad</t>
  </si>
  <si>
    <t>Ilimitados</t>
  </si>
  <si>
    <t>+ Personalización, SLA, soporte 24/7</t>
  </si>
  <si>
    <t>💡 MÓDULO IA (Pay-per-use)</t>
  </si>
  <si>
    <t>Volumen docs/mes</t>
  </si>
  <si>
    <t>Precio/doc (€)</t>
  </si>
  <si>
    <t>Tu coste</t>
  </si>
  <si>
    <t>Tu margen</t>
  </si>
  <si>
    <t>1-50</t>
  </si>
  <si>
    <t>51-200</t>
  </si>
  <si>
    <t>201-500</t>
  </si>
  <si>
    <t>501-1000</t>
  </si>
  <si>
    <t>+1000</t>
  </si>
  <si>
    <t>📈 ANÁLISIS ROI</t>
  </si>
  <si>
    <t>Inversión desarrollo (estimada):</t>
  </si>
  <si>
    <t>€</t>
  </si>
  <si>
    <t>Clientes plan Profesional:</t>
  </si>
  <si>
    <t>Ingresos mensuales:</t>
  </si>
  <si>
    <t>Costes mensuales infra:</t>
  </si>
  <si>
    <t>Beneficio mensual:</t>
  </si>
  <si>
    <t>Meses para break-even:</t>
  </si>
  <si>
    <t>M0 gratis, M20 máximo para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</si>
</sst>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b/>
      <sz val="12"/>
      <name val="Cambria"/>
      <charset val="1"/>
    </font>
    <font>
      <b/>
      <sz val="11"/>
      <color rgb="FF0064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0" xfId="0" applyFont="1" applyFill="1"/>
    <xf numFmtId="0" fontId="0" fillId="3" borderId="0" xfId="0" applyFill="1"/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4" borderId="0" xfId="0" applyFont="1" applyFill="1"/>
    <xf numFmtId="0" fontId="4" fillId="0" borderId="0" xfId="0" applyFont="1"/>
    <xf numFmtId="0" fontId="4" fillId="4" borderId="0" xfId="0" applyFont="1" applyFill="1"/>
    <xf numFmtId="0" fontId="5" fillId="0" borderId="0" xfId="0" applyFont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60" zoomScaleNormal="160" workbookViewId="0">
      <selection activeCell="C15" sqref="C15"/>
    </sheetView>
  </sheetViews>
  <sheetFormatPr baseColWidth="10" defaultColWidth="8.6640625" defaultRowHeight="14.4" x14ac:dyDescent="0.3"/>
  <cols>
    <col min="1" max="1" width="35" customWidth="1"/>
    <col min="2" max="3" width="18" customWidth="1"/>
    <col min="4" max="4" width="40" customWidth="1"/>
  </cols>
  <sheetData>
    <row r="1" spans="1:4" x14ac:dyDescent="0.3">
      <c r="A1" s="1" t="s">
        <v>0</v>
      </c>
      <c r="B1" s="1"/>
      <c r="C1" s="1"/>
      <c r="D1" s="1"/>
    </row>
    <row r="3" spans="1:4" x14ac:dyDescent="0.3">
      <c r="A3" t="s">
        <v>1</v>
      </c>
      <c r="B3" t="s">
        <v>2</v>
      </c>
    </row>
    <row r="4" spans="1:4" x14ac:dyDescent="0.3">
      <c r="A4" t="s">
        <v>3</v>
      </c>
      <c r="B4" t="s">
        <v>4</v>
      </c>
    </row>
    <row r="6" spans="1:4" x14ac:dyDescent="0.3">
      <c r="A6" s="2" t="s">
        <v>5</v>
      </c>
      <c r="B6" s="2" t="s">
        <v>6</v>
      </c>
      <c r="C6" s="2" t="s">
        <v>7</v>
      </c>
      <c r="D6" s="2" t="s">
        <v>8</v>
      </c>
    </row>
    <row r="7" spans="1:4" x14ac:dyDescent="0.3">
      <c r="A7" s="3" t="s">
        <v>9</v>
      </c>
      <c r="B7" s="3">
        <v>12.99</v>
      </c>
      <c r="C7" s="3">
        <f>Hosting!C8</f>
        <v>24.99</v>
      </c>
      <c r="D7" s="3" t="s">
        <v>10</v>
      </c>
    </row>
    <row r="8" spans="1:4" x14ac:dyDescent="0.3">
      <c r="A8" s="3" t="s">
        <v>11</v>
      </c>
      <c r="B8" s="3">
        <v>56.94</v>
      </c>
      <c r="C8" s="3">
        <f>MongoDB!C10</f>
        <v>150</v>
      </c>
      <c r="D8" s="3" t="s">
        <v>179</v>
      </c>
    </row>
    <row r="9" spans="1:4" x14ac:dyDescent="0.3">
      <c r="A9" s="3" t="s">
        <v>12</v>
      </c>
      <c r="B9" s="3">
        <f>'API Claude'!E21</f>
        <v>1.794</v>
      </c>
      <c r="C9" s="3">
        <f>'API Claude'!F21</f>
        <v>3.5880000000000001</v>
      </c>
      <c r="D9" s="3" t="s">
        <v>13</v>
      </c>
    </row>
    <row r="10" spans="1:4" x14ac:dyDescent="0.3">
      <c r="A10" s="3" t="s">
        <v>14</v>
      </c>
      <c r="B10" s="3">
        <f>Almacenamiento!B19</f>
        <v>0</v>
      </c>
      <c r="C10" s="3">
        <f>Almacenamiento!C19</f>
        <v>40</v>
      </c>
      <c r="D10" s="3" t="s">
        <v>15</v>
      </c>
    </row>
    <row r="11" spans="1:4" x14ac:dyDescent="0.3">
      <c r="A11" s="3" t="s">
        <v>16</v>
      </c>
      <c r="B11" s="3">
        <v>1</v>
      </c>
      <c r="C11" s="3">
        <v>2</v>
      </c>
      <c r="D11" s="3" t="s">
        <v>17</v>
      </c>
    </row>
    <row r="12" spans="1:4" x14ac:dyDescent="0.3">
      <c r="A12" s="3" t="s">
        <v>18</v>
      </c>
      <c r="B12" s="3">
        <v>0</v>
      </c>
      <c r="C12" s="3">
        <v>5</v>
      </c>
      <c r="D12" s="3" t="s">
        <v>19</v>
      </c>
    </row>
    <row r="13" spans="1:4" x14ac:dyDescent="0.3">
      <c r="A13" s="4" t="s">
        <v>20</v>
      </c>
      <c r="B13" s="5">
        <f>SUM(B7:B12)</f>
        <v>72.72399999999999</v>
      </c>
      <c r="C13" s="5">
        <f>SUM(C7:C12)</f>
        <v>225.578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zoomScaleNormal="100" workbookViewId="0">
      <selection activeCell="B7" sqref="B7"/>
    </sheetView>
  </sheetViews>
  <sheetFormatPr baseColWidth="10" defaultColWidth="8.6640625" defaultRowHeight="14.4" x14ac:dyDescent="0.3"/>
  <cols>
    <col min="1" max="1" width="30" customWidth="1"/>
    <col min="2" max="3" width="15" customWidth="1"/>
    <col min="4" max="4" width="40" customWidth="1"/>
  </cols>
  <sheetData>
    <row r="1" spans="1:4" x14ac:dyDescent="0.3">
      <c r="A1" s="1" t="s">
        <v>21</v>
      </c>
      <c r="B1" s="1"/>
      <c r="C1" s="1"/>
      <c r="D1" s="1"/>
    </row>
    <row r="3" spans="1:4" x14ac:dyDescent="0.3">
      <c r="A3" s="2" t="s">
        <v>22</v>
      </c>
      <c r="B3" s="2" t="s">
        <v>23</v>
      </c>
      <c r="C3" s="2" t="s">
        <v>24</v>
      </c>
      <c r="D3" s="2" t="s">
        <v>8</v>
      </c>
    </row>
    <row r="4" spans="1:4" x14ac:dyDescent="0.3">
      <c r="A4" s="3" t="s">
        <v>25</v>
      </c>
      <c r="B4" s="6">
        <v>6</v>
      </c>
      <c r="C4" s="3" t="s">
        <v>26</v>
      </c>
      <c r="D4" s="3" t="s">
        <v>27</v>
      </c>
    </row>
    <row r="5" spans="1:4" x14ac:dyDescent="0.3">
      <c r="A5" s="3" t="s">
        <v>28</v>
      </c>
      <c r="B5" s="6">
        <f>17.99+6</f>
        <v>23.99</v>
      </c>
      <c r="C5" s="3" t="s">
        <v>29</v>
      </c>
      <c r="D5" s="3" t="s">
        <v>30</v>
      </c>
    </row>
    <row r="6" spans="1:4" x14ac:dyDescent="0.3">
      <c r="A6" s="3" t="s">
        <v>31</v>
      </c>
      <c r="B6" s="6">
        <v>24.99</v>
      </c>
      <c r="C6" s="3" t="s">
        <v>32</v>
      </c>
      <c r="D6" s="3" t="s">
        <v>33</v>
      </c>
    </row>
    <row r="7" spans="1:4" x14ac:dyDescent="0.3">
      <c r="A7" s="3" t="s">
        <v>34</v>
      </c>
      <c r="B7" s="6">
        <v>12</v>
      </c>
      <c r="C7" s="3" t="s">
        <v>35</v>
      </c>
      <c r="D7" s="3" t="s">
        <v>36</v>
      </c>
    </row>
    <row r="8" spans="1:4" x14ac:dyDescent="0.3">
      <c r="A8" s="7" t="s">
        <v>37</v>
      </c>
      <c r="B8" s="6">
        <f>MIN(B4:B7)</f>
        <v>6</v>
      </c>
      <c r="C8" s="3">
        <f>MAX(B4:B7)</f>
        <v>24.99</v>
      </c>
      <c r="D8" s="3" t="s">
        <v>38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Normal="100" workbookViewId="0">
      <selection activeCell="B16" sqref="B16:C17"/>
    </sheetView>
  </sheetViews>
  <sheetFormatPr baseColWidth="10" defaultColWidth="8.6640625" defaultRowHeight="14.4" x14ac:dyDescent="0.3"/>
  <cols>
    <col min="1" max="1" width="25" customWidth="1"/>
    <col min="2" max="3" width="15" customWidth="1"/>
    <col min="4" max="4" width="45" customWidth="1"/>
  </cols>
  <sheetData>
    <row r="1" spans="1:4" x14ac:dyDescent="0.3">
      <c r="A1" s="1" t="s">
        <v>39</v>
      </c>
      <c r="B1" s="1"/>
      <c r="C1" s="1"/>
      <c r="D1" s="1"/>
    </row>
    <row r="3" spans="1:4" x14ac:dyDescent="0.3">
      <c r="A3" s="2" t="s">
        <v>40</v>
      </c>
      <c r="B3" s="2" t="s">
        <v>23</v>
      </c>
      <c r="C3" s="2" t="s">
        <v>41</v>
      </c>
      <c r="D3" s="2" t="s">
        <v>8</v>
      </c>
    </row>
    <row r="4" spans="1:4" x14ac:dyDescent="0.3">
      <c r="A4" s="3" t="s">
        <v>42</v>
      </c>
      <c r="B4" s="6">
        <v>0</v>
      </c>
      <c r="C4" s="3" t="s">
        <v>43</v>
      </c>
      <c r="D4" s="3" t="s">
        <v>44</v>
      </c>
    </row>
    <row r="5" spans="1:4" x14ac:dyDescent="0.3">
      <c r="A5" s="3" t="s">
        <v>45</v>
      </c>
      <c r="B5" s="6">
        <v>9</v>
      </c>
      <c r="C5" s="3" t="s">
        <v>46</v>
      </c>
      <c r="D5" s="3" t="s">
        <v>47</v>
      </c>
    </row>
    <row r="6" spans="1:4" x14ac:dyDescent="0.3">
      <c r="A6" s="3" t="s">
        <v>48</v>
      </c>
      <c r="B6" s="6">
        <v>30</v>
      </c>
      <c r="C6" s="3" t="s">
        <v>49</v>
      </c>
      <c r="D6" s="3" t="s">
        <v>50</v>
      </c>
    </row>
    <row r="7" spans="1:4" x14ac:dyDescent="0.3">
      <c r="A7" s="3" t="s">
        <v>51</v>
      </c>
      <c r="B7" s="6">
        <v>60</v>
      </c>
      <c r="C7" s="3" t="s">
        <v>52</v>
      </c>
      <c r="D7" s="3" t="s">
        <v>53</v>
      </c>
    </row>
    <row r="8" spans="1:4" x14ac:dyDescent="0.3">
      <c r="A8" s="3" t="s">
        <v>54</v>
      </c>
      <c r="B8" s="6">
        <v>150</v>
      </c>
      <c r="C8" s="3" t="s">
        <v>55</v>
      </c>
      <c r="D8" s="3" t="s">
        <v>56</v>
      </c>
    </row>
    <row r="10" spans="1:4" x14ac:dyDescent="0.3">
      <c r="A10" s="8" t="s">
        <v>57</v>
      </c>
      <c r="B10">
        <v>0</v>
      </c>
      <c r="C10">
        <v>150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1" width="30" customWidth="1"/>
    <col min="2" max="2" width="15" customWidth="1"/>
    <col min="3" max="3" width="12" customWidth="1"/>
    <col min="4" max="6" width="15" customWidth="1"/>
  </cols>
  <sheetData>
    <row r="1" spans="1:6" x14ac:dyDescent="0.3">
      <c r="A1" s="1" t="s">
        <v>58</v>
      </c>
      <c r="B1" s="1"/>
      <c r="C1" s="1"/>
      <c r="D1" s="1"/>
      <c r="E1" s="1"/>
      <c r="F1" s="1"/>
    </row>
    <row r="3" spans="1:6" x14ac:dyDescent="0.3">
      <c r="A3" t="s">
        <v>59</v>
      </c>
    </row>
    <row r="4" spans="1:6" x14ac:dyDescent="0.3">
      <c r="A4" t="s">
        <v>60</v>
      </c>
    </row>
    <row r="5" spans="1:6" x14ac:dyDescent="0.3">
      <c r="A5" t="s">
        <v>61</v>
      </c>
    </row>
    <row r="6" spans="1:6" x14ac:dyDescent="0.3">
      <c r="A6" t="s">
        <v>62</v>
      </c>
    </row>
    <row r="8" spans="1:6" x14ac:dyDescent="0.3">
      <c r="A8" s="2" t="s">
        <v>63</v>
      </c>
      <c r="B8" s="2" t="s">
        <v>64</v>
      </c>
      <c r="C8" s="2" t="s">
        <v>65</v>
      </c>
    </row>
    <row r="9" spans="1:6" x14ac:dyDescent="0.3">
      <c r="A9" t="s">
        <v>66</v>
      </c>
      <c r="B9" s="6">
        <v>2500</v>
      </c>
      <c r="C9" t="s">
        <v>67</v>
      </c>
    </row>
    <row r="10" spans="1:6" x14ac:dyDescent="0.3">
      <c r="A10" t="s">
        <v>68</v>
      </c>
      <c r="B10" s="6">
        <v>800</v>
      </c>
      <c r="C10" t="s">
        <v>67</v>
      </c>
    </row>
    <row r="11" spans="1:6" x14ac:dyDescent="0.3">
      <c r="A11" t="s">
        <v>69</v>
      </c>
      <c r="B11" s="6">
        <v>0.92</v>
      </c>
    </row>
    <row r="13" spans="1:6" x14ac:dyDescent="0.3">
      <c r="A13" t="s">
        <v>70</v>
      </c>
      <c r="B13" s="9">
        <f>((B9/1000000)*3 + (B10/1000000)*15)*B11</f>
        <v>1.7940000000000001E-2</v>
      </c>
    </row>
    <row r="15" spans="1:6" x14ac:dyDescent="0.3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</row>
    <row r="16" spans="1:6" x14ac:dyDescent="0.3">
      <c r="A16" s="3" t="s">
        <v>77</v>
      </c>
      <c r="B16" s="6">
        <v>50</v>
      </c>
      <c r="C16">
        <f>B16*$B$13</f>
        <v>0.89700000000000002</v>
      </c>
      <c r="D16">
        <f>C16*0.5</f>
        <v>0.44850000000000001</v>
      </c>
      <c r="E16">
        <f>D16</f>
        <v>0.44850000000000001</v>
      </c>
      <c r="F16">
        <f>C16</f>
        <v>0.89700000000000002</v>
      </c>
    </row>
    <row r="17" spans="1:6" x14ac:dyDescent="0.3">
      <c r="A17" s="3" t="s">
        <v>78</v>
      </c>
      <c r="B17" s="6">
        <v>200</v>
      </c>
      <c r="C17">
        <f>B17*$B$13</f>
        <v>3.5880000000000001</v>
      </c>
      <c r="D17">
        <f>C17*0.5</f>
        <v>1.794</v>
      </c>
      <c r="E17">
        <f>D17</f>
        <v>1.794</v>
      </c>
      <c r="F17">
        <f>C17</f>
        <v>3.5880000000000001</v>
      </c>
    </row>
    <row r="18" spans="1:6" x14ac:dyDescent="0.3">
      <c r="A18" s="3" t="s">
        <v>79</v>
      </c>
      <c r="B18" s="6">
        <v>500</v>
      </c>
      <c r="C18">
        <f>B18*$B$13</f>
        <v>8.9700000000000006</v>
      </c>
      <c r="D18">
        <f>C18*0.5</f>
        <v>4.4850000000000003</v>
      </c>
      <c r="E18">
        <f>D18</f>
        <v>4.4850000000000003</v>
      </c>
      <c r="F18">
        <f>C18</f>
        <v>8.9700000000000006</v>
      </c>
    </row>
    <row r="19" spans="1:6" x14ac:dyDescent="0.3">
      <c r="A19" s="3" t="s">
        <v>80</v>
      </c>
      <c r="B19" s="6">
        <v>1000</v>
      </c>
      <c r="C19">
        <f>B19*$B$13</f>
        <v>17.940000000000001</v>
      </c>
      <c r="D19">
        <f>C19*0.5</f>
        <v>8.9700000000000006</v>
      </c>
      <c r="E19">
        <f>D19</f>
        <v>8.9700000000000006</v>
      </c>
      <c r="F19">
        <f>C19</f>
        <v>17.940000000000001</v>
      </c>
    </row>
    <row r="20" spans="1:6" x14ac:dyDescent="0.3">
      <c r="A20" s="3" t="s">
        <v>81</v>
      </c>
      <c r="B20" s="6">
        <v>3000</v>
      </c>
      <c r="C20">
        <f>B20*$B$13</f>
        <v>53.82</v>
      </c>
      <c r="D20">
        <f>C20*0.5</f>
        <v>26.91</v>
      </c>
      <c r="E20">
        <f>D20</f>
        <v>26.91</v>
      </c>
      <c r="F20">
        <f>C20</f>
        <v>53.82</v>
      </c>
    </row>
    <row r="21" spans="1:6" x14ac:dyDescent="0.3">
      <c r="A21" s="8" t="s">
        <v>82</v>
      </c>
      <c r="E21">
        <f>E17</f>
        <v>1.794</v>
      </c>
      <c r="F21">
        <f>F17</f>
        <v>3.5880000000000001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zoomScaleNormal="100" workbookViewId="0">
      <selection activeCell="C20" sqref="C20"/>
    </sheetView>
  </sheetViews>
  <sheetFormatPr baseColWidth="10" defaultColWidth="8.6640625" defaultRowHeight="14.4" x14ac:dyDescent="0.3"/>
  <cols>
    <col min="1" max="1" width="35" customWidth="1"/>
    <col min="2" max="3" width="18" customWidth="1"/>
    <col min="4" max="4" width="45" customWidth="1"/>
  </cols>
  <sheetData>
    <row r="1" spans="1:4" x14ac:dyDescent="0.3">
      <c r="A1" s="1" t="s">
        <v>83</v>
      </c>
      <c r="B1" s="1"/>
      <c r="C1" s="1"/>
      <c r="D1" s="1"/>
    </row>
    <row r="3" spans="1:4" ht="15.6" x14ac:dyDescent="0.3">
      <c r="A3" s="10" t="s">
        <v>84</v>
      </c>
    </row>
    <row r="4" spans="1:4" x14ac:dyDescent="0.3">
      <c r="A4" s="2" t="s">
        <v>5</v>
      </c>
      <c r="B4" s="2" t="s">
        <v>85</v>
      </c>
      <c r="C4" s="2" t="s">
        <v>86</v>
      </c>
      <c r="D4" s="2" t="s">
        <v>8</v>
      </c>
    </row>
    <row r="5" spans="1:4" x14ac:dyDescent="0.3">
      <c r="A5" s="3" t="s">
        <v>87</v>
      </c>
      <c r="B5" s="3" t="s">
        <v>88</v>
      </c>
      <c r="C5" s="3" t="s">
        <v>89</v>
      </c>
      <c r="D5" s="3" t="s">
        <v>90</v>
      </c>
    </row>
    <row r="6" spans="1:4" x14ac:dyDescent="0.3">
      <c r="A6" s="3" t="s">
        <v>91</v>
      </c>
      <c r="B6" s="3" t="s">
        <v>92</v>
      </c>
      <c r="C6" s="3" t="s">
        <v>93</v>
      </c>
      <c r="D6" s="3" t="s">
        <v>94</v>
      </c>
    </row>
    <row r="7" spans="1:4" x14ac:dyDescent="0.3">
      <c r="A7" s="3" t="s">
        <v>95</v>
      </c>
      <c r="B7" s="3" t="s">
        <v>96</v>
      </c>
      <c r="C7" s="3" t="s">
        <v>93</v>
      </c>
      <c r="D7" s="3" t="s">
        <v>97</v>
      </c>
    </row>
    <row r="8" spans="1:4" x14ac:dyDescent="0.3">
      <c r="A8" s="3" t="s">
        <v>98</v>
      </c>
      <c r="B8" s="3" t="s">
        <v>99</v>
      </c>
      <c r="C8" s="3" t="s">
        <v>100</v>
      </c>
      <c r="D8" s="3" t="s">
        <v>101</v>
      </c>
    </row>
    <row r="10" spans="1:4" ht="15.6" x14ac:dyDescent="0.3">
      <c r="A10" s="10" t="s">
        <v>102</v>
      </c>
    </row>
    <row r="11" spans="1:4" x14ac:dyDescent="0.3">
      <c r="A11" s="2" t="s">
        <v>103</v>
      </c>
      <c r="B11" s="2" t="s">
        <v>104</v>
      </c>
      <c r="C11" s="2" t="s">
        <v>105</v>
      </c>
      <c r="D11" s="2" t="s">
        <v>8</v>
      </c>
    </row>
    <row r="12" spans="1:4" x14ac:dyDescent="0.3">
      <c r="A12" s="3" t="s">
        <v>106</v>
      </c>
      <c r="B12" s="3" t="s">
        <v>107</v>
      </c>
      <c r="C12" s="3" t="s">
        <v>108</v>
      </c>
      <c r="D12" s="3" t="s">
        <v>109</v>
      </c>
    </row>
    <row r="13" spans="1:4" x14ac:dyDescent="0.3">
      <c r="A13" s="3" t="s">
        <v>110</v>
      </c>
      <c r="B13" s="3" t="s">
        <v>111</v>
      </c>
      <c r="C13" s="3" t="s">
        <v>112</v>
      </c>
      <c r="D13" s="3" t="s">
        <v>113</v>
      </c>
    </row>
    <row r="14" spans="1:4" x14ac:dyDescent="0.3">
      <c r="A14" s="3" t="s">
        <v>114</v>
      </c>
      <c r="B14" s="3" t="s">
        <v>115</v>
      </c>
      <c r="C14" s="3" t="s">
        <v>116</v>
      </c>
      <c r="D14" s="3" t="s">
        <v>117</v>
      </c>
    </row>
    <row r="15" spans="1:4" x14ac:dyDescent="0.3">
      <c r="A15" s="3" t="s">
        <v>118</v>
      </c>
      <c r="B15" s="3" t="s">
        <v>119</v>
      </c>
      <c r="C15" s="3" t="s">
        <v>120</v>
      </c>
      <c r="D15" s="3" t="s">
        <v>121</v>
      </c>
    </row>
    <row r="16" spans="1:4" x14ac:dyDescent="0.3">
      <c r="A16" s="3" t="s">
        <v>122</v>
      </c>
      <c r="B16" s="3" t="s">
        <v>123</v>
      </c>
      <c r="C16" s="3" t="s">
        <v>124</v>
      </c>
      <c r="D16" s="3" t="s">
        <v>125</v>
      </c>
    </row>
    <row r="18" spans="1:4" ht="15.6" x14ac:dyDescent="0.3">
      <c r="A18" s="11" t="s">
        <v>126</v>
      </c>
    </row>
    <row r="19" spans="1:4" x14ac:dyDescent="0.3">
      <c r="A19" s="8" t="s">
        <v>127</v>
      </c>
      <c r="B19" s="6">
        <v>0</v>
      </c>
      <c r="C19" s="6">
        <v>40</v>
      </c>
      <c r="D19" t="s">
        <v>128</v>
      </c>
    </row>
    <row r="21" spans="1:4" x14ac:dyDescent="0.3">
      <c r="A21" t="s">
        <v>129</v>
      </c>
    </row>
    <row r="22" spans="1:4" x14ac:dyDescent="0.3">
      <c r="A22" t="s">
        <v>130</v>
      </c>
    </row>
    <row r="23" spans="1:4" x14ac:dyDescent="0.3">
      <c r="A23" t="s">
        <v>131</v>
      </c>
    </row>
    <row r="24" spans="1:4" x14ac:dyDescent="0.3">
      <c r="A24" t="s">
        <v>132</v>
      </c>
    </row>
    <row r="26" spans="1:4" x14ac:dyDescent="0.3">
      <c r="A26" s="12" t="s">
        <v>133</v>
      </c>
    </row>
    <row r="27" spans="1:4" x14ac:dyDescent="0.3">
      <c r="A27" t="s">
        <v>134</v>
      </c>
    </row>
    <row r="28" spans="1:4" x14ac:dyDescent="0.3">
      <c r="A28" t="s">
        <v>135</v>
      </c>
    </row>
    <row r="29" spans="1:4" x14ac:dyDescent="0.3">
      <c r="A29" t="s">
        <v>136</v>
      </c>
    </row>
    <row r="30" spans="1:4" x14ac:dyDescent="0.3">
      <c r="A30" t="s">
        <v>137</v>
      </c>
    </row>
    <row r="31" spans="1:4" x14ac:dyDescent="0.3">
      <c r="A31" t="s">
        <v>138</v>
      </c>
    </row>
    <row r="32" spans="1:4" x14ac:dyDescent="0.3">
      <c r="A32" t="s">
        <v>139</v>
      </c>
    </row>
    <row r="34" spans="1:4" x14ac:dyDescent="0.3">
      <c r="A34" s="8" t="s">
        <v>140</v>
      </c>
    </row>
    <row r="35" spans="1:4" x14ac:dyDescent="0.3">
      <c r="A35" s="2" t="s">
        <v>141</v>
      </c>
      <c r="B35" s="2" t="s">
        <v>64</v>
      </c>
      <c r="C35" s="2" t="s">
        <v>142</v>
      </c>
      <c r="D35" s="2" t="s">
        <v>143</v>
      </c>
    </row>
    <row r="36" spans="1:4" x14ac:dyDescent="0.3">
      <c r="A36" t="s">
        <v>144</v>
      </c>
      <c r="B36" s="6">
        <v>2048</v>
      </c>
      <c r="C36">
        <f>IF(B36&lt;=250,5,5+(B36-250)*0.02)</f>
        <v>40.96</v>
      </c>
      <c r="D36">
        <f>B36*0.023</f>
        <v>47.103999999999999</v>
      </c>
    </row>
    <row r="37" spans="1:4" x14ac:dyDescent="0.3">
      <c r="A37" t="s">
        <v>145</v>
      </c>
      <c r="B37" s="6">
        <v>50</v>
      </c>
      <c r="C37">
        <f>IF(B37&lt;=1024,0,(B37-1024)*0.01)</f>
        <v>0</v>
      </c>
      <c r="D37">
        <f>B37*0.09</f>
        <v>4.5</v>
      </c>
    </row>
    <row r="38" spans="1:4" x14ac:dyDescent="0.3">
      <c r="A38" s="8" t="s">
        <v>146</v>
      </c>
      <c r="C38" s="5">
        <f>(C36+C37)*0.92</f>
        <v>37.683199999999999</v>
      </c>
      <c r="D38" s="5">
        <f>(D36+D37)*0.92</f>
        <v>47.475680000000004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zoomScaleNormal="100" workbookViewId="0">
      <selection activeCell="B23" sqref="B23"/>
    </sheetView>
  </sheetViews>
  <sheetFormatPr baseColWidth="10" defaultColWidth="8.6640625" defaultRowHeight="14.4" x14ac:dyDescent="0.3"/>
  <cols>
    <col min="1" max="1" width="25" customWidth="1"/>
    <col min="2" max="3" width="15" customWidth="1"/>
    <col min="4" max="4" width="35" customWidth="1"/>
  </cols>
  <sheetData>
    <row r="1" spans="1:4" x14ac:dyDescent="0.3">
      <c r="A1" s="1" t="s">
        <v>147</v>
      </c>
      <c r="B1" s="1"/>
      <c r="C1" s="1"/>
      <c r="D1" s="1"/>
    </row>
    <row r="3" spans="1:4" x14ac:dyDescent="0.3">
      <c r="A3" s="2" t="s">
        <v>40</v>
      </c>
      <c r="B3" s="2" t="s">
        <v>148</v>
      </c>
      <c r="C3" s="2" t="s">
        <v>23</v>
      </c>
      <c r="D3" s="2" t="s">
        <v>149</v>
      </c>
    </row>
    <row r="4" spans="1:4" x14ac:dyDescent="0.3">
      <c r="A4" s="3" t="s">
        <v>150</v>
      </c>
      <c r="B4" s="3" t="s">
        <v>151</v>
      </c>
      <c r="C4" s="6">
        <v>29</v>
      </c>
      <c r="D4" s="3" t="s">
        <v>152</v>
      </c>
    </row>
    <row r="5" spans="1:4" x14ac:dyDescent="0.3">
      <c r="A5" s="3" t="s">
        <v>153</v>
      </c>
      <c r="B5" s="3" t="s">
        <v>154</v>
      </c>
      <c r="C5" s="6">
        <v>59</v>
      </c>
      <c r="D5" s="3" t="s">
        <v>155</v>
      </c>
    </row>
    <row r="6" spans="1:4" x14ac:dyDescent="0.3">
      <c r="A6" s="3" t="s">
        <v>156</v>
      </c>
      <c r="B6" s="3" t="s">
        <v>157</v>
      </c>
      <c r="C6" s="6">
        <v>99</v>
      </c>
      <c r="D6" s="3" t="s">
        <v>158</v>
      </c>
    </row>
    <row r="7" spans="1:4" x14ac:dyDescent="0.3">
      <c r="A7" s="3" t="s">
        <v>81</v>
      </c>
      <c r="B7" s="3" t="s">
        <v>159</v>
      </c>
      <c r="C7" s="6">
        <v>199</v>
      </c>
      <c r="D7" s="3" t="s">
        <v>160</v>
      </c>
    </row>
    <row r="10" spans="1:4" x14ac:dyDescent="0.3">
      <c r="A10" s="8" t="s">
        <v>161</v>
      </c>
    </row>
    <row r="11" spans="1:4" x14ac:dyDescent="0.3">
      <c r="A11" s="2" t="s">
        <v>162</v>
      </c>
      <c r="B11" s="2" t="s">
        <v>163</v>
      </c>
      <c r="C11" s="2" t="s">
        <v>164</v>
      </c>
      <c r="D11" s="2" t="s">
        <v>165</v>
      </c>
    </row>
    <row r="12" spans="1:4" x14ac:dyDescent="0.3">
      <c r="A12" s="3" t="s">
        <v>166</v>
      </c>
      <c r="B12" s="6">
        <v>0.3</v>
      </c>
      <c r="C12" s="3">
        <f>0.015</f>
        <v>1.4999999999999999E-2</v>
      </c>
      <c r="D12" s="13">
        <f>1-(C12/B12)</f>
        <v>0.95</v>
      </c>
    </row>
    <row r="13" spans="1:4" x14ac:dyDescent="0.3">
      <c r="A13" s="3" t="s">
        <v>167</v>
      </c>
      <c r="B13" s="6">
        <v>0.25</v>
      </c>
      <c r="C13" s="3">
        <f>0.015</f>
        <v>1.4999999999999999E-2</v>
      </c>
      <c r="D13" s="13">
        <f>1-(C13/B13)</f>
        <v>0.94</v>
      </c>
    </row>
    <row r="14" spans="1:4" x14ac:dyDescent="0.3">
      <c r="A14" s="3" t="s">
        <v>168</v>
      </c>
      <c r="B14" s="6">
        <v>0.2</v>
      </c>
      <c r="C14" s="3">
        <f>0.015</f>
        <v>1.4999999999999999E-2</v>
      </c>
      <c r="D14" s="13">
        <f>1-(C14/B14)</f>
        <v>0.92500000000000004</v>
      </c>
    </row>
    <row r="15" spans="1:4" x14ac:dyDescent="0.3">
      <c r="A15" s="3" t="s">
        <v>169</v>
      </c>
      <c r="B15" s="6">
        <v>0.15</v>
      </c>
      <c r="C15" s="3">
        <f>0.015</f>
        <v>1.4999999999999999E-2</v>
      </c>
      <c r="D15" s="13">
        <f>1-(C15/B15)</f>
        <v>0.9</v>
      </c>
    </row>
    <row r="16" spans="1:4" x14ac:dyDescent="0.3">
      <c r="A16" s="3" t="s">
        <v>170</v>
      </c>
      <c r="B16" s="6">
        <v>0.12</v>
      </c>
      <c r="C16" s="3">
        <f>0.015</f>
        <v>1.4999999999999999E-2</v>
      </c>
      <c r="D16" s="13">
        <f>1-(C16/B16)</f>
        <v>0.875</v>
      </c>
    </row>
    <row r="19" spans="1:3" x14ac:dyDescent="0.3">
      <c r="A19" s="8" t="s">
        <v>171</v>
      </c>
    </row>
    <row r="20" spans="1:3" x14ac:dyDescent="0.3">
      <c r="A20" t="s">
        <v>172</v>
      </c>
      <c r="B20" s="6">
        <v>8000</v>
      </c>
      <c r="C20" t="s">
        <v>173</v>
      </c>
    </row>
    <row r="21" spans="1:3" x14ac:dyDescent="0.3">
      <c r="A21" t="s">
        <v>174</v>
      </c>
      <c r="B21" s="6">
        <v>10</v>
      </c>
    </row>
    <row r="22" spans="1:3" x14ac:dyDescent="0.3">
      <c r="A22" t="s">
        <v>175</v>
      </c>
      <c r="B22" s="5">
        <f>B21*59</f>
        <v>590</v>
      </c>
    </row>
    <row r="23" spans="1:3" x14ac:dyDescent="0.3">
      <c r="A23" t="s">
        <v>176</v>
      </c>
      <c r="B23" s="5">
        <f>Resumen!C13</f>
        <v>225.578</v>
      </c>
    </row>
    <row r="24" spans="1:3" x14ac:dyDescent="0.3">
      <c r="A24" t="s">
        <v>177</v>
      </c>
      <c r="B24" s="4">
        <f>B22-B23</f>
        <v>364.42200000000003</v>
      </c>
    </row>
    <row r="25" spans="1:3" x14ac:dyDescent="0.3">
      <c r="A25" t="s">
        <v>178</v>
      </c>
      <c r="B25" s="9">
        <f>ROUND(B20/B24,1)</f>
        <v>22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Hosting</vt:lpstr>
      <vt:lpstr>MongoDB</vt:lpstr>
      <vt:lpstr>API Claude</vt:lpstr>
      <vt:lpstr>Almacenamiento</vt:lpstr>
      <vt:lpstr>Precios SaaS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taller tpcomputer</cp:lastModifiedBy>
  <cp:revision>0</cp:revision>
  <dcterms:created xsi:type="dcterms:W3CDTF">2025-12-21T18:02:24Z</dcterms:created>
  <dcterms:modified xsi:type="dcterms:W3CDTF">2025-12-21T20:45:37Z</dcterms:modified>
  <dc:language>en-US</dc:language>
</cp:coreProperties>
</file>